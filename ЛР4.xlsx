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Z:\VI\Uni\sert-s6\"/>
    </mc:Choice>
  </mc:AlternateContent>
  <xr:revisionPtr revIDLastSave="0" documentId="13_ncr:1_{5830A132-E3D1-4151-9BD8-58CD9F0875B7}" xr6:coauthVersionLast="47" xr6:coauthVersionMax="47" xr10:uidLastSave="{00000000-0000-0000-0000-000000000000}"/>
  <bookViews>
    <workbookView xWindow="-120" yWindow="-120" windowWidth="29040" windowHeight="15720" firstSheet="1" activeTab="8" xr2:uid="{00000000-000D-0000-FFFF-FFFF00000000}"/>
  </bookViews>
  <sheets>
    <sheet name="Данные" sheetId="1" r:id="rId1"/>
    <sheet name="Критерии" sheetId="2" r:id="rId2"/>
    <sheet name="K1" sheetId="3" r:id="rId3"/>
    <sheet name="K2" sheetId="4" r:id="rId4"/>
    <sheet name="K3" sheetId="5" r:id="rId5"/>
    <sheet name="K4" sheetId="6" r:id="rId6"/>
    <sheet name="Итог" sheetId="7" r:id="rId7"/>
    <sheet name="|" sheetId="8" r:id="rId8"/>
    <sheet name="2Данные" sheetId="9" r:id="rId9"/>
    <sheet name="2Опис" sheetId="10" r:id="rId10"/>
    <sheet name="2Критерии" sheetId="12" r:id="rId11"/>
    <sheet name="2K1" sheetId="13" r:id="rId12"/>
    <sheet name="2K2" sheetId="14" r:id="rId13"/>
    <sheet name="2K3" sheetId="15" r:id="rId14"/>
    <sheet name="2K4" sheetId="16" r:id="rId15"/>
    <sheet name="2K5" sheetId="17" r:id="rId16"/>
    <sheet name="2K6" sheetId="18" r:id="rId17"/>
    <sheet name="2Итог" sheetId="19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8" l="1"/>
  <c r="B8" i="18" s="1"/>
  <c r="B7" i="17"/>
  <c r="B8" i="17" s="1"/>
  <c r="B7" i="16"/>
  <c r="B8" i="16" s="1"/>
  <c r="B7" i="15"/>
  <c r="B8" i="15" s="1"/>
  <c r="B7" i="14"/>
  <c r="B8" i="14" s="1"/>
  <c r="B8" i="13"/>
  <c r="B7" i="13"/>
  <c r="H4" i="19"/>
  <c r="H5" i="19"/>
  <c r="H3" i="19"/>
  <c r="G6" i="19"/>
  <c r="F6" i="19"/>
  <c r="E6" i="19"/>
  <c r="D6" i="19"/>
  <c r="C6" i="19"/>
  <c r="B6" i="19"/>
  <c r="G3" i="19" a="1"/>
  <c r="G3" i="19" s="1"/>
  <c r="F3" i="19" a="1"/>
  <c r="F3" i="19" s="1"/>
  <c r="E3" i="19" a="1"/>
  <c r="E3" i="19" s="1"/>
  <c r="D3" i="19" a="1"/>
  <c r="D3" i="19" s="1"/>
  <c r="C3" i="19" a="1"/>
  <c r="C3" i="19" s="1"/>
  <c r="B3" i="19" a="1"/>
  <c r="B3" i="19" s="1"/>
  <c r="B2" i="19" a="1"/>
  <c r="B2" i="19" s="1"/>
  <c r="D3" i="15"/>
  <c r="D2" i="15"/>
  <c r="C4" i="18"/>
  <c r="C5" i="18" s="1"/>
  <c r="D5" i="18"/>
  <c r="C4" i="17"/>
  <c r="D5" i="17"/>
  <c r="C5" i="17"/>
  <c r="C4" i="16"/>
  <c r="D5" i="16"/>
  <c r="C5" i="16"/>
  <c r="C4" i="15"/>
  <c r="D5" i="15"/>
  <c r="C5" i="15"/>
  <c r="D3" i="14"/>
  <c r="C2" i="14"/>
  <c r="C4" i="14"/>
  <c r="D2" i="14"/>
  <c r="D5" i="14" s="1"/>
  <c r="D3" i="13"/>
  <c r="C4" i="13" s="1"/>
  <c r="D2" i="13"/>
  <c r="D5" i="13" s="1"/>
  <c r="C2" i="13"/>
  <c r="B3" i="13" s="1"/>
  <c r="B3" i="12"/>
  <c r="F7" i="12"/>
  <c r="E7" i="12"/>
  <c r="E6" i="12"/>
  <c r="D7" i="12"/>
  <c r="D6" i="12"/>
  <c r="D5" i="12"/>
  <c r="C7" i="12"/>
  <c r="C6" i="12"/>
  <c r="C5" i="12"/>
  <c r="C4" i="12"/>
  <c r="B7" i="12"/>
  <c r="B6" i="12"/>
  <c r="B4" i="12"/>
  <c r="B5" i="12"/>
  <c r="G5" i="12"/>
  <c r="F5" i="12"/>
  <c r="F4" i="12"/>
  <c r="F3" i="12"/>
  <c r="F2" i="12"/>
  <c r="C2" i="12"/>
  <c r="C8" i="12"/>
  <c r="D8" i="12"/>
  <c r="E8" i="12"/>
  <c r="F8" i="12"/>
  <c r="G8" i="12"/>
  <c r="H3" i="12"/>
  <c r="H4" i="12"/>
  <c r="H5" i="12"/>
  <c r="H6" i="12"/>
  <c r="H7" i="12"/>
  <c r="H2" i="12"/>
  <c r="C6" i="7"/>
  <c r="E6" i="7"/>
  <c r="B7" i="7"/>
  <c r="B8" i="7" s="1"/>
  <c r="F4" i="7"/>
  <c r="F5" i="7"/>
  <c r="F3" i="7"/>
  <c r="E3" i="7" a="1"/>
  <c r="E3" i="7" s="1"/>
  <c r="D3" i="7" a="1"/>
  <c r="D3" i="7" s="1"/>
  <c r="C3" i="7" a="1"/>
  <c r="C3" i="7" s="1"/>
  <c r="B3" i="7" a="1"/>
  <c r="B3" i="7" s="1"/>
  <c r="D6" i="7"/>
  <c r="B6" i="7"/>
  <c r="B2" i="7" a="1"/>
  <c r="B2" i="7" s="1"/>
  <c r="D3" i="6"/>
  <c r="C4" i="6" s="1"/>
  <c r="D5" i="6"/>
  <c r="B3" i="6"/>
  <c r="D3" i="5"/>
  <c r="D2" i="5"/>
  <c r="C2" i="5"/>
  <c r="D5" i="5"/>
  <c r="C4" i="5"/>
  <c r="C5" i="5" s="1"/>
  <c r="B4" i="5"/>
  <c r="E4" i="5" s="1"/>
  <c r="B3" i="5"/>
  <c r="B5" i="5" s="1"/>
  <c r="E2" i="5"/>
  <c r="B4" i="4"/>
  <c r="D5" i="4"/>
  <c r="B3" i="4"/>
  <c r="B5" i="4" s="1"/>
  <c r="E2" i="4"/>
  <c r="E4" i="3"/>
  <c r="E3" i="3"/>
  <c r="E2" i="3"/>
  <c r="D3" i="3"/>
  <c r="D2" i="3"/>
  <c r="D5" i="3"/>
  <c r="C4" i="3"/>
  <c r="B4" i="3"/>
  <c r="C2" i="3"/>
  <c r="B3" i="3" s="1"/>
  <c r="B9" i="2"/>
  <c r="B8" i="2"/>
  <c r="B7" i="2"/>
  <c r="B6" i="2"/>
  <c r="C6" i="2"/>
  <c r="D6" i="2"/>
  <c r="E6" i="2"/>
  <c r="G6" i="2"/>
  <c r="G3" i="2"/>
  <c r="G4" i="2"/>
  <c r="G5" i="2"/>
  <c r="F6" i="2"/>
  <c r="G2" i="2" s="1"/>
  <c r="F3" i="2"/>
  <c r="F4" i="2"/>
  <c r="F5" i="2"/>
  <c r="F2" i="2"/>
  <c r="D5" i="2"/>
  <c r="C5" i="2"/>
  <c r="C4" i="2"/>
  <c r="B5" i="2"/>
  <c r="B4" i="2"/>
  <c r="B3" i="2"/>
  <c r="C2" i="2"/>
  <c r="B7" i="19" l="1"/>
  <c r="B8" i="19" s="1"/>
  <c r="E2" i="18"/>
  <c r="B3" i="18"/>
  <c r="B4" i="18"/>
  <c r="E4" i="18" s="1"/>
  <c r="E2" i="17"/>
  <c r="B3" i="17"/>
  <c r="B4" i="17"/>
  <c r="E4" i="17" s="1"/>
  <c r="E2" i="16"/>
  <c r="B3" i="16"/>
  <c r="B4" i="16"/>
  <c r="E4" i="16" s="1"/>
  <c r="E2" i="15"/>
  <c r="B3" i="15"/>
  <c r="B4" i="15"/>
  <c r="E4" i="15" s="1"/>
  <c r="C5" i="14"/>
  <c r="E2" i="14"/>
  <c r="B3" i="14"/>
  <c r="B4" i="14"/>
  <c r="E4" i="14" s="1"/>
  <c r="E3" i="13"/>
  <c r="B4" i="13"/>
  <c r="E4" i="13" s="1"/>
  <c r="C5" i="13"/>
  <c r="E2" i="13"/>
  <c r="H8" i="12"/>
  <c r="I4" i="12"/>
  <c r="I3" i="12"/>
  <c r="I6" i="12"/>
  <c r="I5" i="12"/>
  <c r="I7" i="12"/>
  <c r="B8" i="12"/>
  <c r="E3" i="6"/>
  <c r="B4" i="6"/>
  <c r="E4" i="6" s="1"/>
  <c r="C5" i="6"/>
  <c r="E2" i="6"/>
  <c r="E3" i="5"/>
  <c r="E3" i="4"/>
  <c r="C4" i="4"/>
  <c r="C5" i="4" s="1"/>
  <c r="C5" i="3"/>
  <c r="B5" i="3"/>
  <c r="B5" i="18" l="1"/>
  <c r="E3" i="18"/>
  <c r="E5" i="18"/>
  <c r="F2" i="18"/>
  <c r="F4" i="18"/>
  <c r="B5" i="17"/>
  <c r="E3" i="17"/>
  <c r="E5" i="17" s="1"/>
  <c r="B5" i="16"/>
  <c r="E3" i="16"/>
  <c r="E5" i="16" s="1"/>
  <c r="E3" i="15"/>
  <c r="B5" i="15"/>
  <c r="B5" i="14"/>
  <c r="E3" i="14"/>
  <c r="E5" i="13"/>
  <c r="F2" i="13"/>
  <c r="F3" i="13"/>
  <c r="F4" i="13"/>
  <c r="B5" i="13"/>
  <c r="B6" i="13" s="1"/>
  <c r="E5" i="6"/>
  <c r="F4" i="6" s="1"/>
  <c r="F3" i="6"/>
  <c r="B5" i="6"/>
  <c r="E5" i="5"/>
  <c r="E4" i="4"/>
  <c r="E5" i="4"/>
  <c r="F2" i="4" s="1"/>
  <c r="E5" i="3"/>
  <c r="F4" i="16" l="1"/>
  <c r="F2" i="16"/>
  <c r="F3" i="18"/>
  <c r="F5" i="18" s="1"/>
  <c r="B6" i="18"/>
  <c r="F4" i="17"/>
  <c r="F2" i="17"/>
  <c r="F3" i="17"/>
  <c r="B6" i="17"/>
  <c r="F3" i="16"/>
  <c r="F5" i="16" s="1"/>
  <c r="B6" i="16"/>
  <c r="E5" i="15"/>
  <c r="E5" i="14"/>
  <c r="F3" i="14" s="1"/>
  <c r="F5" i="13"/>
  <c r="I2" i="12"/>
  <c r="B9" i="12" s="1"/>
  <c r="B10" i="12" s="1"/>
  <c r="F2" i="6"/>
  <c r="B6" i="6"/>
  <c r="B7" i="6" s="1"/>
  <c r="B8" i="6" s="1"/>
  <c r="F5" i="6"/>
  <c r="F2" i="5"/>
  <c r="F4" i="5"/>
  <c r="F3" i="5"/>
  <c r="F4" i="4"/>
  <c r="F3" i="4"/>
  <c r="F5" i="4" s="1"/>
  <c r="F4" i="3"/>
  <c r="F2" i="3"/>
  <c r="F3" i="3"/>
  <c r="F5" i="17" l="1"/>
  <c r="F2" i="15"/>
  <c r="F4" i="15"/>
  <c r="F3" i="15"/>
  <c r="F4" i="14"/>
  <c r="F2" i="14"/>
  <c r="I8" i="12"/>
  <c r="B11" i="12"/>
  <c r="F5" i="5"/>
  <c r="B6" i="5"/>
  <c r="B7" i="5" s="1"/>
  <c r="B8" i="5" s="1"/>
  <c r="B6" i="4"/>
  <c r="B7" i="4" s="1"/>
  <c r="B8" i="4" s="1"/>
  <c r="B6" i="3"/>
  <c r="B7" i="3" s="1"/>
  <c r="B8" i="3" s="1"/>
  <c r="F5" i="3"/>
  <c r="F5" i="15" l="1"/>
  <c r="B6" i="15"/>
  <c r="F5" i="14"/>
  <c r="B6" i="1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<sst xmlns="http://schemas.openxmlformats.org/spreadsheetml/2006/main" count="244" uniqueCount="84">
  <si>
    <t>Цель: обосновать коэффициенты значимости (удельные веса)</t>
  </si>
  <si>
    <t>доходного, затратного, сравнительного подходов к оценке стоимости бизнеса для определения итоговой величины стоимости.</t>
  </si>
  <si>
    <t>Критерии</t>
  </si>
  <si>
    <t>возможность отразить действительные намерения продавца;</t>
  </si>
  <si>
    <t>тип, качество, обширность данных, на основе которых проводится анализ;</t>
  </si>
  <si>
    <t>способность параметров используемых методов учитывать конъюнктурные колебания;</t>
  </si>
  <si>
    <t>способность учитывать специфические особенности объекта, влияющие на его стоимость (местонахождение, размер, потенциальная доходность).</t>
  </si>
  <si>
    <t>Размер матрицы критериев</t>
  </si>
  <si>
    <t>Случайная согласованность</t>
  </si>
  <si>
    <t>Альтернативы</t>
  </si>
  <si>
    <t>З</t>
  </si>
  <si>
    <t>С</t>
  </si>
  <si>
    <t>Д</t>
  </si>
  <si>
    <t>затратный подход к оценке</t>
  </si>
  <si>
    <t>сравнительный подход к оценке</t>
  </si>
  <si>
    <t>доходный подход к оценке</t>
  </si>
  <si>
    <t>Размер матрицы альтернатив</t>
  </si>
  <si>
    <t>Случайная согласованнсть</t>
  </si>
  <si>
    <t>К1</t>
  </si>
  <si>
    <t>К2</t>
  </si>
  <si>
    <t>К3</t>
  </si>
  <si>
    <t>К4</t>
  </si>
  <si>
    <t>Средние геом.</t>
  </si>
  <si>
    <t>Итого</t>
  </si>
  <si>
    <t>L_max</t>
  </si>
  <si>
    <t>ИС</t>
  </si>
  <si>
    <t>ОС</t>
  </si>
  <si>
    <t>НВП</t>
  </si>
  <si>
    <t>L_max А</t>
  </si>
  <si>
    <t>ИС А</t>
  </si>
  <si>
    <t>ОС А</t>
  </si>
  <si>
    <t>L_max Б</t>
  </si>
  <si>
    <t>ИС Б</t>
  </si>
  <si>
    <t>ОС Б</t>
  </si>
  <si>
    <t>L_max В</t>
  </si>
  <si>
    <t>ИС В</t>
  </si>
  <si>
    <t>ОС В</t>
  </si>
  <si>
    <t>L_max Г</t>
  </si>
  <si>
    <t>ИС Г</t>
  </si>
  <si>
    <t>ОС Г</t>
  </si>
  <si>
    <t>ОИС</t>
  </si>
  <si>
    <t>ООС</t>
  </si>
  <si>
    <t>Итоговая оценка коэф.</t>
  </si>
  <si>
    <t>Наиболее предпочтительный</t>
  </si>
  <si>
    <t>Наименее предпочтительный</t>
  </si>
  <si>
    <r>
      <rPr>
        <b/>
        <sz val="11"/>
        <color theme="1"/>
        <rFont val="Calibri"/>
        <family val="2"/>
        <charset val="204"/>
        <scheme val="minor"/>
      </rPr>
      <t>Защищенность</t>
    </r>
    <r>
      <rPr>
        <sz val="11"/>
        <color theme="1"/>
        <rFont val="Calibri"/>
        <family val="2"/>
        <scheme val="minor"/>
      </rPr>
      <t>. Способность предотвращать несанкционированный доступ. Критично для баз данных, хранящих чувствительную информацию.</t>
    </r>
  </si>
  <si>
    <r>
      <rPr>
        <b/>
        <sz val="11"/>
        <color theme="1"/>
        <rFont val="Calibri"/>
        <family val="2"/>
        <charset val="204"/>
        <scheme val="minor"/>
      </rPr>
      <t>Устойчивость к ошибке.</t>
    </r>
    <r>
      <rPr>
        <sz val="11"/>
        <color theme="1"/>
        <rFont val="Calibri"/>
        <family val="2"/>
        <scheme val="minor"/>
      </rPr>
      <t xml:space="preserve"> Способность поддерживать работу при сбоях (отказоустойчивость, механизмы репликации).</t>
    </r>
  </si>
  <si>
    <r>
      <rPr>
        <b/>
        <sz val="11"/>
        <color theme="1"/>
        <rFont val="Calibri"/>
        <family val="2"/>
        <charset val="204"/>
        <scheme val="minor"/>
      </rPr>
      <t>Характер изменения во времени</t>
    </r>
    <r>
      <rPr>
        <sz val="11"/>
        <color theme="1"/>
        <rFont val="Calibri"/>
        <family val="2"/>
        <scheme val="minor"/>
      </rPr>
      <t>. Времена отклика и скорость обработки запросов (производительность).</t>
    </r>
  </si>
  <si>
    <r>
      <rPr>
        <b/>
        <sz val="11"/>
        <color theme="1"/>
        <rFont val="Calibri"/>
        <family val="2"/>
        <charset val="204"/>
        <scheme val="minor"/>
      </rPr>
      <t>Адаптируемость</t>
    </r>
    <r>
      <rPr>
        <sz val="11"/>
        <color theme="1"/>
        <rFont val="Calibri"/>
        <family val="2"/>
        <scheme val="minor"/>
      </rPr>
      <t>. Удобство адаптации к различным условиям эксплуатации (поддержка разных ОС, легкость развертывания).</t>
    </r>
  </si>
  <si>
    <r>
      <rPr>
        <b/>
        <sz val="11"/>
        <color theme="1"/>
        <rFont val="Calibri"/>
        <family val="2"/>
        <charset val="204"/>
        <scheme val="minor"/>
      </rPr>
      <t>Популярность и поддержка сообщества</t>
    </r>
    <r>
      <rPr>
        <sz val="11"/>
        <color theme="1"/>
        <rFont val="Calibri"/>
        <family val="2"/>
        <scheme val="minor"/>
      </rPr>
      <t>. Наличие специалистов на рынке, документации и готовых решений (StackOverflow, форумы)</t>
    </r>
  </si>
  <si>
    <r>
      <rPr>
        <b/>
        <sz val="11"/>
        <color theme="1"/>
        <rFont val="Calibri"/>
        <family val="2"/>
        <charset val="204"/>
        <scheme val="minor"/>
      </rPr>
      <t>Стоимость</t>
    </r>
    <r>
      <rPr>
        <sz val="11"/>
        <color theme="1"/>
        <rFont val="Calibri"/>
        <family val="2"/>
        <scheme val="minor"/>
      </rPr>
      <t>. Цена лицензирования и совокупная стоимость владения (TCO).</t>
    </r>
  </si>
  <si>
    <t>MySQL</t>
  </si>
  <si>
    <t>PostgreSQL</t>
  </si>
  <si>
    <t>MS SQL Server</t>
  </si>
  <si>
    <t>My</t>
  </si>
  <si>
    <t>Postgres</t>
  </si>
  <si>
    <t>MS</t>
  </si>
  <si>
    <t>Характеристика</t>
  </si>
  <si>
    <t>К1. Защищенность</t>
  </si>
  <si>
    <t>Хорошая. Есть управление правами, шифрование. Исторически «из коробки» была менее безопасна, чем конкуренты.</t>
  </si>
  <si>
    <t>Очень высокая. Развитая система ролей (RLS), мощные механизмы аутентификации.</t>
  </si>
  <si>
    <t>Эталонная. Тесная интеграция с Windows Security/AD, прозрачное шифрование данных, маскирование. Считается одной из самых безопасных.</t>
  </si>
  <si>
    <t>К2. Устойчивость (Надежность)</t>
  </si>
  <si>
    <t>Хорошая. Репликация (Master-Slave) работает надежно, но сложна в настройке для строгой консистентности.</t>
  </si>
  <si>
    <t>Отличная. Write Ahead Log (WAL), синхронная репликация, проверенная надежность данных (ACID).</t>
  </si>
  <si>
    <t>Отличная. Технология AlwaysOn Availability Groups обеспечивает высочайшую доступность и автоматическое переключение.</t>
  </si>
  <si>
    <t>К3. Производительность (Время)</t>
  </si>
  <si>
    <t>Сбалансированная. Отлично справляется со сложными JOIN-запросами и большими объемами данных.</t>
  </si>
  <si>
    <t>Высочайшая. Оптимизатор запросов считается одним из лучших в мире. Отличная работа с большими нагрузками.</t>
  </si>
  <si>
    <t>К4. Адаптируемость (ОС)</t>
  </si>
  <si>
    <t>Работает везде (Linux, Windows, macOS, BSD). «Родная» среда — Linux.</t>
  </si>
  <si>
    <t>Работает везде. Отличная переносимость.</t>
  </si>
  <si>
    <t>К5. Стоимость</t>
  </si>
  <si>
    <t>К6. Сообщество</t>
  </si>
  <si>
    <t>Огромное. Стандарт де-факто для веб-разработки (LAMP). Много хостингов.</t>
  </si>
  <si>
    <t>Очень большое и активное. Быстрорастущее сообщество разработчиков.</t>
  </si>
  <si>
    <t>Большое, но профессиональное/корпоративное. Поддержка платная от Microsoft — качественная, но дорогая.</t>
  </si>
  <si>
    <t>Бесплатно (GPL), есть платные Enterprise версии от Oracle, но Community версия полнофункциональна.</t>
  </si>
  <si>
    <t>Бесплатно (BSD-подобная лицензия). Полностью открыта.</t>
  </si>
  <si>
    <t>К5</t>
  </si>
  <si>
    <t>К6</t>
  </si>
  <si>
    <t>Высокая скорость на простых операциях чтения. Может уступать в сложных аналитических запросах.</t>
  </si>
  <si>
    <t>Только Windows. Экосистема жестко привязана к Windows.</t>
  </si>
  <si>
    <t>Лицензирование Enterprise-версии стоит десятки тысяч долларов.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</si>
</sst>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9" formatCode="0.0"/>
    <numFmt numFmtId="170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2" fontId="0" fillId="0" borderId="1" xfId="1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9" fontId="0" fillId="4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2" fontId="0" fillId="0" borderId="1" xfId="1" applyNumberFormat="1" applyFont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170" fontId="0" fillId="0" borderId="3" xfId="0" applyNumberFormat="1" applyFill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170" fontId="0" fillId="0" borderId="1" xfId="0" applyNumberForma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3" fillId="2" borderId="2" xfId="0" applyFont="1" applyFill="1" applyBorder="1" applyAlignment="1">
      <alignment horizont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workbookViewId="0">
      <selection activeCell="I18" sqref="I18"/>
    </sheetView>
  </sheetViews>
  <sheetFormatPr defaultRowHeight="15" x14ac:dyDescent="0.25"/>
  <cols>
    <col min="3" max="3" width="10" customWidth="1"/>
  </cols>
  <sheetData>
    <row r="1" spans="1:16" x14ac:dyDescent="0.25">
      <c r="A1" t="s">
        <v>0</v>
      </c>
    </row>
    <row r="2" spans="1:16" x14ac:dyDescent="0.25">
      <c r="A2" t="s">
        <v>1</v>
      </c>
    </row>
    <row r="4" spans="1:16" x14ac:dyDescent="0.25">
      <c r="A4" t="s">
        <v>2</v>
      </c>
    </row>
    <row r="5" spans="1:16" x14ac:dyDescent="0.25">
      <c r="A5" s="1">
        <v>1</v>
      </c>
      <c r="B5" s="2" t="s">
        <v>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25">
      <c r="A6" s="1">
        <v>2</v>
      </c>
      <c r="B6" s="2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25">
      <c r="A7" s="1">
        <v>3</v>
      </c>
      <c r="B7" s="2" t="s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25">
      <c r="A8" s="1">
        <v>4</v>
      </c>
      <c r="B8" s="2" t="s">
        <v>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10" spans="1:16" x14ac:dyDescent="0.25">
      <c r="A10" s="2" t="s">
        <v>7</v>
      </c>
      <c r="B10" s="2"/>
      <c r="C10" s="2"/>
      <c r="D10" s="3">
        <v>4</v>
      </c>
    </row>
    <row r="11" spans="1:16" x14ac:dyDescent="0.25">
      <c r="A11" s="2" t="s">
        <v>8</v>
      </c>
      <c r="B11" s="2"/>
      <c r="C11" s="2"/>
      <c r="D11" s="3">
        <v>0.9</v>
      </c>
    </row>
    <row r="13" spans="1:16" x14ac:dyDescent="0.25">
      <c r="A13" t="s">
        <v>9</v>
      </c>
    </row>
    <row r="14" spans="1:16" x14ac:dyDescent="0.25">
      <c r="A14" s="1" t="s">
        <v>10</v>
      </c>
      <c r="B14" s="2" t="s">
        <v>13</v>
      </c>
      <c r="C14" s="2"/>
      <c r="D14" s="2"/>
      <c r="E14" s="2"/>
    </row>
    <row r="15" spans="1:16" x14ac:dyDescent="0.25">
      <c r="A15" s="1" t="s">
        <v>11</v>
      </c>
      <c r="B15" s="2" t="s">
        <v>14</v>
      </c>
      <c r="C15" s="2"/>
      <c r="D15" s="2"/>
      <c r="E15" s="2"/>
    </row>
    <row r="16" spans="1:16" x14ac:dyDescent="0.25">
      <c r="A16" s="1" t="s">
        <v>12</v>
      </c>
      <c r="B16" s="2" t="s">
        <v>15</v>
      </c>
      <c r="C16" s="2"/>
      <c r="D16" s="2"/>
      <c r="E16" s="2"/>
    </row>
    <row r="18" spans="1:4" x14ac:dyDescent="0.25">
      <c r="A18" s="2" t="s">
        <v>16</v>
      </c>
      <c r="B18" s="2"/>
      <c r="C18" s="2"/>
      <c r="D18" s="3">
        <v>3</v>
      </c>
    </row>
    <row r="19" spans="1:4" x14ac:dyDescent="0.25">
      <c r="A19" s="2" t="s">
        <v>17</v>
      </c>
      <c r="B19" s="2"/>
      <c r="C19" s="2"/>
      <c r="D19" s="3">
        <v>0.57999999999999996</v>
      </c>
    </row>
  </sheetData>
  <mergeCells count="11">
    <mergeCell ref="A11:C11"/>
    <mergeCell ref="A18:C18"/>
    <mergeCell ref="A19:C19"/>
    <mergeCell ref="B14:E14"/>
    <mergeCell ref="B15:E15"/>
    <mergeCell ref="B16:E16"/>
    <mergeCell ref="B5:P5"/>
    <mergeCell ref="B6:P6"/>
    <mergeCell ref="B7:P7"/>
    <mergeCell ref="B8:P8"/>
    <mergeCell ref="A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8C3CA-766D-4288-9E60-697D876DBE9E}">
  <dimension ref="A1:G9"/>
  <sheetViews>
    <sheetView workbookViewId="0">
      <selection activeCell="B4" sqref="B4"/>
    </sheetView>
  </sheetViews>
  <sheetFormatPr defaultRowHeight="15" x14ac:dyDescent="0.25"/>
  <cols>
    <col min="2" max="5" width="20.7109375" customWidth="1"/>
    <col min="6" max="6" width="33.42578125" customWidth="1"/>
    <col min="7" max="7" width="29" customWidth="1"/>
  </cols>
  <sheetData>
    <row r="1" spans="1:7" x14ac:dyDescent="0.25">
      <c r="A1" s="1"/>
      <c r="B1" s="4" t="s">
        <v>18</v>
      </c>
      <c r="C1" s="4" t="s">
        <v>19</v>
      </c>
      <c r="D1" s="4" t="s">
        <v>20</v>
      </c>
      <c r="E1" s="4" t="s">
        <v>21</v>
      </c>
      <c r="F1" s="5" t="s">
        <v>22</v>
      </c>
      <c r="G1" s="5" t="s">
        <v>27</v>
      </c>
    </row>
    <row r="2" spans="1:7" x14ac:dyDescent="0.25">
      <c r="A2" s="4" t="s">
        <v>18</v>
      </c>
      <c r="B2" s="6">
        <v>1</v>
      </c>
      <c r="C2" s="6">
        <f>1/2</f>
        <v>0.5</v>
      </c>
      <c r="D2" s="6">
        <v>3</v>
      </c>
      <c r="E2" s="6">
        <v>2</v>
      </c>
      <c r="F2" s="7">
        <f>POWER(PRODUCT(B2:E2), 1/4)</f>
        <v>1.3160740129524926</v>
      </c>
      <c r="G2" s="7">
        <f>F2/$F$6</f>
        <v>0.30786405406547812</v>
      </c>
    </row>
    <row r="3" spans="1:7" x14ac:dyDescent="0.25">
      <c r="A3" s="4" t="s">
        <v>19</v>
      </c>
      <c r="B3" s="6">
        <f>1/C2</f>
        <v>2</v>
      </c>
      <c r="C3" s="6">
        <v>1</v>
      </c>
      <c r="D3" s="6">
        <v>3</v>
      </c>
      <c r="E3" s="6">
        <v>1</v>
      </c>
      <c r="F3" s="7">
        <f t="shared" ref="F3:F5" si="0">POWER(PRODUCT(B3:E3), 1/4)</f>
        <v>1.5650845800732873</v>
      </c>
      <c r="G3" s="7">
        <f t="shared" ref="G3:G5" si="1">F3/$F$6</f>
        <v>0.36611412354824896</v>
      </c>
    </row>
    <row r="4" spans="1:7" x14ac:dyDescent="0.25">
      <c r="A4" s="4" t="s">
        <v>20</v>
      </c>
      <c r="B4" s="6">
        <f>1/D2</f>
        <v>0.33333333333333331</v>
      </c>
      <c r="C4" s="6">
        <f>1/D3</f>
        <v>0.33333333333333331</v>
      </c>
      <c r="D4" s="6">
        <v>1</v>
      </c>
      <c r="E4" s="6">
        <v>2</v>
      </c>
      <c r="F4" s="7">
        <f t="shared" si="0"/>
        <v>0.68658904796903919</v>
      </c>
      <c r="G4" s="7">
        <f t="shared" si="1"/>
        <v>0.16061109459224288</v>
      </c>
    </row>
    <row r="5" spans="1:7" x14ac:dyDescent="0.25">
      <c r="A5" s="4" t="s">
        <v>21</v>
      </c>
      <c r="B5" s="6">
        <f>1/E2</f>
        <v>0.5</v>
      </c>
      <c r="C5" s="6">
        <f>1/E3</f>
        <v>1</v>
      </c>
      <c r="D5" s="6">
        <f>1/E4</f>
        <v>0.5</v>
      </c>
      <c r="E5" s="6">
        <v>1</v>
      </c>
      <c r="F5" s="7">
        <f t="shared" si="0"/>
        <v>0.70710678118654757</v>
      </c>
      <c r="G5" s="7">
        <f t="shared" si="1"/>
        <v>0.16541072779403002</v>
      </c>
    </row>
    <row r="6" spans="1:7" x14ac:dyDescent="0.25">
      <c r="A6" s="5" t="s">
        <v>23</v>
      </c>
      <c r="B6" s="8">
        <f t="shared" ref="B6:E6" si="2">SUM(B2:B5)</f>
        <v>3.8333333333333335</v>
      </c>
      <c r="C6" s="8">
        <f t="shared" si="2"/>
        <v>2.833333333333333</v>
      </c>
      <c r="D6" s="9">
        <f t="shared" si="2"/>
        <v>7.5</v>
      </c>
      <c r="E6" s="9">
        <f t="shared" si="2"/>
        <v>6</v>
      </c>
      <c r="F6" s="10">
        <f>SUM(F2:F5)</f>
        <v>4.2748544221813667</v>
      </c>
      <c r="G6" s="10">
        <f>SUM(G2:G5)</f>
        <v>0.99999999999999989</v>
      </c>
    </row>
    <row r="7" spans="1:7" x14ac:dyDescent="0.25">
      <c r="A7" s="5" t="s">
        <v>24</v>
      </c>
      <c r="B7" s="7">
        <f>B6*G2+C6*G3+D6*G4+E6*G5</f>
        <v>4.4145164668437067</v>
      </c>
      <c r="C7" s="1"/>
      <c r="D7" s="1"/>
      <c r="E7" s="1"/>
      <c r="F7" s="1"/>
      <c r="G7" s="1"/>
    </row>
    <row r="8" spans="1:7" x14ac:dyDescent="0.25">
      <c r="A8" s="5" t="s">
        <v>25</v>
      </c>
      <c r="B8" s="7">
        <f>(B7-Данные!D10)/(Данные!D10 - 1)</f>
        <v>0.13817215561456889</v>
      </c>
      <c r="C8" s="1"/>
      <c r="D8" s="1"/>
      <c r="E8" s="1"/>
      <c r="F8" s="1"/>
      <c r="G8" s="1"/>
    </row>
    <row r="9" spans="1:7" x14ac:dyDescent="0.25">
      <c r="A9" s="5" t="s">
        <v>26</v>
      </c>
      <c r="B9" s="7">
        <f>B8/Данные!D11</f>
        <v>0.15352461734952097</v>
      </c>
      <c r="C9" s="1"/>
      <c r="D9" s="1"/>
      <c r="E9" s="1"/>
      <c r="F9" s="1"/>
      <c r="G9" s="1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29E26-5FD0-49B5-A53C-0165053C1515}">
  <dimension ref="A1:F8"/>
  <sheetViews>
    <sheetView workbookViewId="0">
      <selection sqref="A1:F1048576"/>
    </sheetView>
  </sheetViews>
  <sheetFormatPr defaultRowHeight="15" x14ac:dyDescent="0.25"/>
  <cols>
    <col min="2" max="4" width="20.7109375" customWidth="1"/>
    <col min="5" max="5" width="33.42578125" customWidth="1"/>
    <col min="6" max="6" width="29" customWidth="1"/>
  </cols>
  <sheetData>
    <row r="1" spans="1:6" x14ac:dyDescent="0.25">
      <c r="A1" s="1"/>
      <c r="B1" s="4" t="s">
        <v>10</v>
      </c>
      <c r="C1" s="4" t="s">
        <v>11</v>
      </c>
      <c r="D1" s="4" t="s">
        <v>12</v>
      </c>
      <c r="E1" s="5" t="s">
        <v>22</v>
      </c>
      <c r="F1" s="5" t="s">
        <v>27</v>
      </c>
    </row>
    <row r="2" spans="1:6" x14ac:dyDescent="0.25">
      <c r="A2" s="4" t="s">
        <v>10</v>
      </c>
      <c r="B2" s="6">
        <v>1</v>
      </c>
      <c r="C2" s="6">
        <f>1/2</f>
        <v>0.5</v>
      </c>
      <c r="D2" s="6">
        <f>1/3</f>
        <v>0.33333333333333331</v>
      </c>
      <c r="E2" s="7">
        <f>POWER(PRODUCT(B2:D2), 1/3)</f>
        <v>0.55032120814910446</v>
      </c>
      <c r="F2" s="7">
        <f>E2/$E$5</f>
        <v>0.16342411856642791</v>
      </c>
    </row>
    <row r="3" spans="1:6" x14ac:dyDescent="0.25">
      <c r="A3" s="4" t="s">
        <v>11</v>
      </c>
      <c r="B3" s="6">
        <f>1/C2</f>
        <v>2</v>
      </c>
      <c r="C3" s="6">
        <v>1</v>
      </c>
      <c r="D3" s="6">
        <f>1/2</f>
        <v>0.5</v>
      </c>
      <c r="E3" s="7">
        <f>POWER(PRODUCT(B3:D3), 1/3)</f>
        <v>1</v>
      </c>
      <c r="F3" s="7">
        <f>E3/$E$5</f>
        <v>0.2969613312124974</v>
      </c>
    </row>
    <row r="4" spans="1:6" x14ac:dyDescent="0.25">
      <c r="A4" s="4" t="s">
        <v>12</v>
      </c>
      <c r="B4" s="6">
        <f>1/D2</f>
        <v>3</v>
      </c>
      <c r="C4" s="6">
        <f>1/D3</f>
        <v>2</v>
      </c>
      <c r="D4" s="6">
        <v>1</v>
      </c>
      <c r="E4" s="7">
        <f>POWER(PRODUCT(B4:D4), 1/3)</f>
        <v>1.8171205928321397</v>
      </c>
      <c r="F4" s="7">
        <f>E4/$E$5</f>
        <v>0.53961455022107463</v>
      </c>
    </row>
    <row r="5" spans="1:6" x14ac:dyDescent="0.25">
      <c r="A5" s="5" t="s">
        <v>23</v>
      </c>
      <c r="B5" s="8">
        <f>SUM(B2:B4)</f>
        <v>6</v>
      </c>
      <c r="C5" s="8">
        <f>SUM(C2:C4)</f>
        <v>3.5</v>
      </c>
      <c r="D5" s="9">
        <f>SUM(D2:D4)</f>
        <v>1.8333333333333333</v>
      </c>
      <c r="E5" s="10">
        <f>SUM(E2:E4)</f>
        <v>3.3674418009812443</v>
      </c>
      <c r="F5" s="10">
        <f>SUM(F2:F4)</f>
        <v>1</v>
      </c>
    </row>
    <row r="6" spans="1:6" x14ac:dyDescent="0.25">
      <c r="A6" s="5" t="s">
        <v>28</v>
      </c>
      <c r="B6" s="7">
        <f>B5*F2+C5*F3+D5*F4</f>
        <v>3.009202712714278</v>
      </c>
      <c r="C6" s="1"/>
      <c r="D6" s="1"/>
      <c r="E6" s="1"/>
      <c r="F6" s="1"/>
    </row>
    <row r="7" spans="1:6" x14ac:dyDescent="0.25">
      <c r="A7" s="5" t="s">
        <v>29</v>
      </c>
      <c r="B7" s="7">
        <f>(B6-Данные!D18)/(Данные!D18 - 1)</f>
        <v>4.6013563571389859E-3</v>
      </c>
      <c r="C7" s="1"/>
      <c r="D7" s="1"/>
      <c r="E7" s="1"/>
      <c r="F7" s="1"/>
    </row>
    <row r="8" spans="1:6" x14ac:dyDescent="0.25">
      <c r="A8" s="5" t="s">
        <v>30</v>
      </c>
      <c r="B8" s="7">
        <f>B7/Данные!D19</f>
        <v>7.9333730295499758E-3</v>
      </c>
      <c r="C8" s="1"/>
      <c r="D8" s="1"/>
      <c r="E8" s="1"/>
      <c r="F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C23C3-801E-4C6E-9704-ABDD11D273EE}">
  <dimension ref="A1:F8"/>
  <sheetViews>
    <sheetView workbookViewId="0">
      <selection activeCell="B7" sqref="B7"/>
    </sheetView>
  </sheetViews>
  <sheetFormatPr defaultRowHeight="15" x14ac:dyDescent="0.25"/>
  <cols>
    <col min="2" max="4" width="20.7109375" customWidth="1"/>
    <col min="5" max="5" width="33.42578125" customWidth="1"/>
    <col min="6" max="6" width="29" customWidth="1"/>
  </cols>
  <sheetData>
    <row r="1" spans="1:6" x14ac:dyDescent="0.25">
      <c r="A1" s="1"/>
      <c r="B1" s="4" t="s">
        <v>10</v>
      </c>
      <c r="C1" s="4" t="s">
        <v>11</v>
      </c>
      <c r="D1" s="4" t="s">
        <v>12</v>
      </c>
      <c r="E1" s="5" t="s">
        <v>22</v>
      </c>
      <c r="F1" s="5" t="s">
        <v>27</v>
      </c>
    </row>
    <row r="2" spans="1:6" x14ac:dyDescent="0.25">
      <c r="A2" s="4" t="s">
        <v>10</v>
      </c>
      <c r="B2" s="6">
        <v>1</v>
      </c>
      <c r="C2" s="6">
        <v>3</v>
      </c>
      <c r="D2" s="6">
        <v>5</v>
      </c>
      <c r="E2" s="7">
        <f>POWER(PRODUCT(B2:D2), 1/3)</f>
        <v>2.4662120743304703</v>
      </c>
      <c r="F2" s="7">
        <f>E2/$E$5</f>
        <v>0.63698557174475723</v>
      </c>
    </row>
    <row r="3" spans="1:6" x14ac:dyDescent="0.25">
      <c r="A3" s="4" t="s">
        <v>11</v>
      </c>
      <c r="B3" s="6">
        <f>1/C2</f>
        <v>0.33333333333333331</v>
      </c>
      <c r="C3" s="6">
        <v>1</v>
      </c>
      <c r="D3" s="6">
        <v>3</v>
      </c>
      <c r="E3" s="7">
        <f>POWER(PRODUCT(B3:D3), 1/3)</f>
        <v>1</v>
      </c>
      <c r="F3" s="7">
        <f>E3/$E$5</f>
        <v>0.25828499437449498</v>
      </c>
    </row>
    <row r="4" spans="1:6" x14ac:dyDescent="0.25">
      <c r="A4" s="4" t="s">
        <v>12</v>
      </c>
      <c r="B4" s="6">
        <f>1/D2</f>
        <v>0.2</v>
      </c>
      <c r="C4" s="6">
        <f>1/D3</f>
        <v>0.33333333333333331</v>
      </c>
      <c r="D4" s="6">
        <v>1</v>
      </c>
      <c r="E4" s="7">
        <f>POWER(PRODUCT(B4:D4), 1/3)</f>
        <v>0.40548013303822666</v>
      </c>
      <c r="F4" s="7">
        <f>E4/$E$5</f>
        <v>0.10472943388074786</v>
      </c>
    </row>
    <row r="5" spans="1:6" x14ac:dyDescent="0.25">
      <c r="A5" s="5" t="s">
        <v>23</v>
      </c>
      <c r="B5" s="8">
        <f>SUM(B2:B4)</f>
        <v>1.5333333333333332</v>
      </c>
      <c r="C5" s="8">
        <f>SUM(C2:C4)</f>
        <v>4.333333333333333</v>
      </c>
      <c r="D5" s="9">
        <f>SUM(D2:D4)</f>
        <v>9</v>
      </c>
      <c r="E5" s="10">
        <f>SUM(E2:E4)</f>
        <v>3.8716922073686968</v>
      </c>
      <c r="F5" s="10">
        <f>SUM(F2:F4)</f>
        <v>1</v>
      </c>
    </row>
    <row r="6" spans="1:6" x14ac:dyDescent="0.25">
      <c r="A6" s="5" t="s">
        <v>31</v>
      </c>
      <c r="B6" s="7">
        <f>B5*F2+C5*F3+D5*F4</f>
        <v>3.03851109055817</v>
      </c>
      <c r="C6" s="1"/>
      <c r="D6" s="1"/>
      <c r="E6" s="1"/>
      <c r="F6" s="1"/>
    </row>
    <row r="7" spans="1:6" x14ac:dyDescent="0.25">
      <c r="A7" s="5" t="s">
        <v>32</v>
      </c>
      <c r="B7" s="7">
        <f>(B6-Данные!D18)/(Данные!D18 - 1)</f>
        <v>1.9255545279085018E-2</v>
      </c>
      <c r="C7" s="1"/>
      <c r="D7" s="1"/>
      <c r="E7" s="1"/>
      <c r="F7" s="1"/>
    </row>
    <row r="8" spans="1:6" x14ac:dyDescent="0.25">
      <c r="A8" s="5" t="s">
        <v>33</v>
      </c>
      <c r="B8" s="7">
        <f>B7/Данные!D19</f>
        <v>3.3199215998422446E-2</v>
      </c>
      <c r="C8" s="1"/>
      <c r="D8" s="1"/>
      <c r="E8" s="1"/>
      <c r="F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94C35-9F0D-41E5-9387-F5869CC63AB5}">
  <dimension ref="A1:F8"/>
  <sheetViews>
    <sheetView workbookViewId="0">
      <selection sqref="A1:F1048576"/>
    </sheetView>
  </sheetViews>
  <sheetFormatPr defaultRowHeight="15" x14ac:dyDescent="0.25"/>
  <cols>
    <col min="2" max="4" width="20.7109375" customWidth="1"/>
    <col min="5" max="5" width="33.42578125" customWidth="1"/>
    <col min="6" max="6" width="29" customWidth="1"/>
  </cols>
  <sheetData>
    <row r="1" spans="1:6" x14ac:dyDescent="0.25">
      <c r="A1" s="1"/>
      <c r="B1" s="4" t="s">
        <v>10</v>
      </c>
      <c r="C1" s="4" t="s">
        <v>11</v>
      </c>
      <c r="D1" s="4" t="s">
        <v>12</v>
      </c>
      <c r="E1" s="5" t="s">
        <v>22</v>
      </c>
      <c r="F1" s="5" t="s">
        <v>27</v>
      </c>
    </row>
    <row r="2" spans="1:6" x14ac:dyDescent="0.25">
      <c r="A2" s="4" t="s">
        <v>10</v>
      </c>
      <c r="B2" s="6">
        <v>1</v>
      </c>
      <c r="C2" s="6">
        <f>1/2</f>
        <v>0.5</v>
      </c>
      <c r="D2" s="6">
        <f>1/2</f>
        <v>0.5</v>
      </c>
      <c r="E2" s="7">
        <f>POWER(PRODUCT(B2:D2), 1/3)</f>
        <v>0.6299605249474366</v>
      </c>
      <c r="F2" s="7">
        <f>E2/$E$5</f>
        <v>0.19580035065606649</v>
      </c>
    </row>
    <row r="3" spans="1:6" x14ac:dyDescent="0.25">
      <c r="A3" s="4" t="s">
        <v>11</v>
      </c>
      <c r="B3" s="6">
        <f>1/C2</f>
        <v>2</v>
      </c>
      <c r="C3" s="6">
        <v>1</v>
      </c>
      <c r="D3" s="6">
        <f>1/2</f>
        <v>0.5</v>
      </c>
      <c r="E3" s="7">
        <f>POWER(PRODUCT(B3:D3), 1/3)</f>
        <v>1</v>
      </c>
      <c r="F3" s="7">
        <f>E3/$E$5</f>
        <v>0.31081368260718228</v>
      </c>
    </row>
    <row r="4" spans="1:6" x14ac:dyDescent="0.25">
      <c r="A4" s="4" t="s">
        <v>12</v>
      </c>
      <c r="B4" s="6">
        <f>1/D2</f>
        <v>2</v>
      </c>
      <c r="C4" s="6">
        <f>1/D3</f>
        <v>2</v>
      </c>
      <c r="D4" s="6">
        <v>1</v>
      </c>
      <c r="E4" s="7">
        <f>POWER(PRODUCT(B4:D4), 1/3)</f>
        <v>1.5874010519681994</v>
      </c>
      <c r="F4" s="7">
        <f>E4/$E$5</f>
        <v>0.49338596673675117</v>
      </c>
    </row>
    <row r="5" spans="1:6" x14ac:dyDescent="0.25">
      <c r="A5" s="5" t="s">
        <v>23</v>
      </c>
      <c r="B5" s="8">
        <f>SUM(B2:B4)</f>
        <v>5</v>
      </c>
      <c r="C5" s="8">
        <f>SUM(C2:C4)</f>
        <v>3.5</v>
      </c>
      <c r="D5" s="9">
        <f>SUM(D2:D4)</f>
        <v>2</v>
      </c>
      <c r="E5" s="10">
        <f>SUM(E2:E4)</f>
        <v>3.2173615769156361</v>
      </c>
      <c r="F5" s="10">
        <f>SUM(F2:F4)</f>
        <v>0.99999999999999989</v>
      </c>
    </row>
    <row r="6" spans="1:6" x14ac:dyDescent="0.25">
      <c r="A6" s="5" t="s">
        <v>34</v>
      </c>
      <c r="B6" s="7">
        <f>B5*F2+C5*F3+D5*F4</f>
        <v>3.0536215758789726</v>
      </c>
      <c r="C6" s="1"/>
      <c r="D6" s="1"/>
      <c r="E6" s="1"/>
      <c r="F6" s="1"/>
    </row>
    <row r="7" spans="1:6" x14ac:dyDescent="0.25">
      <c r="A7" s="5" t="s">
        <v>35</v>
      </c>
      <c r="B7" s="7">
        <f>(B6-Данные!D18)/(Данные!D18 - 1)</f>
        <v>2.6810787939486325E-2</v>
      </c>
      <c r="C7" s="1"/>
      <c r="D7" s="1"/>
      <c r="E7" s="1"/>
      <c r="F7" s="1"/>
    </row>
    <row r="8" spans="1:6" x14ac:dyDescent="0.25">
      <c r="A8" s="5" t="s">
        <v>36</v>
      </c>
      <c r="B8" s="7">
        <f>B7/Данные!D19</f>
        <v>4.622549644739022E-2</v>
      </c>
      <c r="C8" s="1"/>
      <c r="D8" s="1"/>
      <c r="E8" s="1"/>
      <c r="F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226B9-591C-49E6-8A65-A683CB964CC6}">
  <dimension ref="A1:F8"/>
  <sheetViews>
    <sheetView workbookViewId="0">
      <selection activeCell="C6" sqref="C6"/>
    </sheetView>
  </sheetViews>
  <sheetFormatPr defaultRowHeight="15" x14ac:dyDescent="0.25"/>
  <cols>
    <col min="2" max="4" width="20.7109375" customWidth="1"/>
    <col min="5" max="5" width="33.42578125" customWidth="1"/>
    <col min="6" max="6" width="29" customWidth="1"/>
  </cols>
  <sheetData>
    <row r="1" spans="1:6" x14ac:dyDescent="0.25">
      <c r="A1" s="1"/>
      <c r="B1" s="4" t="s">
        <v>10</v>
      </c>
      <c r="C1" s="4" t="s">
        <v>11</v>
      </c>
      <c r="D1" s="4" t="s">
        <v>12</v>
      </c>
      <c r="E1" s="5" t="s">
        <v>22</v>
      </c>
      <c r="F1" s="5" t="s">
        <v>27</v>
      </c>
    </row>
    <row r="2" spans="1:6" x14ac:dyDescent="0.25">
      <c r="A2" s="4" t="s">
        <v>10</v>
      </c>
      <c r="B2" s="6">
        <v>1</v>
      </c>
      <c r="C2" s="6">
        <v>2</v>
      </c>
      <c r="D2" s="6">
        <v>3</v>
      </c>
      <c r="E2" s="7">
        <f>POWER(PRODUCT(B2:D2), 1/3)</f>
        <v>1.8171205928321397</v>
      </c>
      <c r="F2" s="7">
        <f>E2/$E$5</f>
        <v>0.5472164349416816</v>
      </c>
    </row>
    <row r="3" spans="1:6" x14ac:dyDescent="0.25">
      <c r="A3" s="4" t="s">
        <v>11</v>
      </c>
      <c r="B3" s="6">
        <f>1/C2</f>
        <v>0.5</v>
      </c>
      <c r="C3" s="6">
        <v>1</v>
      </c>
      <c r="D3" s="6">
        <f>1/2</f>
        <v>0.5</v>
      </c>
      <c r="E3" s="7">
        <f>POWER(PRODUCT(B3:D3), 1/3)</f>
        <v>0.6299605249474366</v>
      </c>
      <c r="F3" s="7">
        <f>E3/$E$5</f>
        <v>0.18970934233838777</v>
      </c>
    </row>
    <row r="4" spans="1:6" x14ac:dyDescent="0.25">
      <c r="A4" s="4" t="s">
        <v>12</v>
      </c>
      <c r="B4" s="6">
        <f>1/D2</f>
        <v>0.33333333333333331</v>
      </c>
      <c r="C4" s="6">
        <f>1/D3</f>
        <v>2</v>
      </c>
      <c r="D4" s="6">
        <v>1</v>
      </c>
      <c r="E4" s="7">
        <f>POWER(PRODUCT(B4:D4), 1/3)</f>
        <v>0.87358046473629891</v>
      </c>
      <c r="F4" s="7">
        <f>E4/$E$5</f>
        <v>0.26307422271993075</v>
      </c>
    </row>
    <row r="5" spans="1:6" x14ac:dyDescent="0.25">
      <c r="A5" s="5" t="s">
        <v>23</v>
      </c>
      <c r="B5" s="8">
        <f>SUM(B2:B4)</f>
        <v>1.8333333333333333</v>
      </c>
      <c r="C5" s="8">
        <f>SUM(C2:C4)</f>
        <v>5</v>
      </c>
      <c r="D5" s="9">
        <f>SUM(D2:D4)</f>
        <v>4.5</v>
      </c>
      <c r="E5" s="10">
        <f>SUM(E2:E4)</f>
        <v>3.320661582515875</v>
      </c>
      <c r="F5" s="10">
        <f>SUM(F2:F4)</f>
        <v>1</v>
      </c>
    </row>
    <row r="6" spans="1:6" x14ac:dyDescent="0.25">
      <c r="A6" s="5" t="s">
        <v>37</v>
      </c>
      <c r="B6" s="7">
        <f>B5*F2+C5*F3+D5*F4</f>
        <v>3.1356108446580437</v>
      </c>
      <c r="C6" s="1"/>
      <c r="D6" s="1"/>
      <c r="E6" s="1"/>
      <c r="F6" s="1"/>
    </row>
    <row r="7" spans="1:6" x14ac:dyDescent="0.25">
      <c r="A7" s="5" t="s">
        <v>38</v>
      </c>
      <c r="B7" s="7">
        <f>(B6-Данные!D18)/(Данные!D18 - 1)</f>
        <v>6.7805422329021869E-2</v>
      </c>
      <c r="C7" s="1"/>
      <c r="D7" s="1"/>
      <c r="E7" s="1"/>
      <c r="F7" s="1"/>
    </row>
    <row r="8" spans="1:6" x14ac:dyDescent="0.25">
      <c r="A8" s="5" t="s">
        <v>39</v>
      </c>
      <c r="B8" s="7">
        <f>B7/Данные!D19</f>
        <v>0.11690590056727909</v>
      </c>
      <c r="C8" s="1"/>
      <c r="D8" s="1"/>
      <c r="E8" s="1"/>
      <c r="F8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BFDA5-4405-4947-914F-E7ABEB2C6DAF}">
  <dimension ref="A1:G8"/>
  <sheetViews>
    <sheetView workbookViewId="0">
      <selection sqref="A1:A2"/>
    </sheetView>
  </sheetViews>
  <sheetFormatPr defaultRowHeight="15" x14ac:dyDescent="0.25"/>
  <cols>
    <col min="2" max="5" width="20.7109375" customWidth="1"/>
    <col min="6" max="6" width="33.42578125" customWidth="1"/>
  </cols>
  <sheetData>
    <row r="1" spans="1:7" x14ac:dyDescent="0.25">
      <c r="A1" s="32"/>
      <c r="B1" s="4" t="s">
        <v>18</v>
      </c>
      <c r="C1" s="4" t="s">
        <v>19</v>
      </c>
      <c r="D1" s="4" t="s">
        <v>20</v>
      </c>
      <c r="E1" s="4" t="s">
        <v>21</v>
      </c>
      <c r="F1" s="5" t="s">
        <v>42</v>
      </c>
    </row>
    <row r="2" spans="1:7" x14ac:dyDescent="0.25">
      <c r="A2" s="31"/>
      <c r="B2" s="11" cm="1">
        <f t="array" ref="B2:E2">TRANSPOSE(Критерии!G2:G5)</f>
        <v>0.30786405406547812</v>
      </c>
      <c r="C2" s="11">
        <v>0.36611412354824896</v>
      </c>
      <c r="D2" s="11">
        <v>0.16061109459224288</v>
      </c>
      <c r="E2" s="11">
        <v>0.16541072779403002</v>
      </c>
      <c r="F2" s="7"/>
    </row>
    <row r="3" spans="1:7" x14ac:dyDescent="0.25">
      <c r="A3" s="33" t="s">
        <v>10</v>
      </c>
      <c r="B3" s="11" cm="1">
        <f t="array" ref="B3:B5">'K1'!F2:F4</f>
        <v>0.16342411856642791</v>
      </c>
      <c r="C3" s="11" cm="1">
        <f t="array" ref="C3:C5">'K2'!F2:F4</f>
        <v>0.63698557174475723</v>
      </c>
      <c r="D3" s="11" cm="1">
        <f t="array" ref="D3:D5">'K3'!F2:F4</f>
        <v>0.19580035065606649</v>
      </c>
      <c r="E3" s="11" cm="1">
        <f t="array" ref="E3:E5">'K4'!F2:F4</f>
        <v>0.5472164349416816</v>
      </c>
      <c r="F3" s="7">
        <f>B$2*B3+C$2*C3+D$2*D3+E$2*E3</f>
        <v>0.40548500339112376</v>
      </c>
      <c r="G3" t="s">
        <v>43</v>
      </c>
    </row>
    <row r="4" spans="1:7" x14ac:dyDescent="0.25">
      <c r="A4" s="4" t="s">
        <v>11</v>
      </c>
      <c r="B4" s="11">
        <v>0.2969613312124974</v>
      </c>
      <c r="C4" s="11">
        <v>0.25828499437449498</v>
      </c>
      <c r="D4" s="11">
        <v>0.31081368260718228</v>
      </c>
      <c r="E4" s="11">
        <v>0.18970934233838777</v>
      </c>
      <c r="F4" s="7">
        <f t="shared" ref="F4:F5" si="0">B$2*B4+C$2*C4+D$2*D4+E$2*E4</f>
        <v>0.26728558983214834</v>
      </c>
      <c r="G4" t="s">
        <v>44</v>
      </c>
    </row>
    <row r="5" spans="1:7" x14ac:dyDescent="0.25">
      <c r="A5" s="4" t="s">
        <v>12</v>
      </c>
      <c r="B5" s="11">
        <v>0.53961455022107463</v>
      </c>
      <c r="C5" s="11">
        <v>0.10472943388074786</v>
      </c>
      <c r="D5" s="11">
        <v>0.49338596673675117</v>
      </c>
      <c r="E5" s="11">
        <v>0.26307422271993075</v>
      </c>
      <c r="F5" s="7">
        <f t="shared" si="0"/>
        <v>0.3272294067767279</v>
      </c>
    </row>
    <row r="6" spans="1:7" x14ac:dyDescent="0.25">
      <c r="A6" s="5" t="s">
        <v>25</v>
      </c>
      <c r="B6" s="12">
        <f>'K1'!B7</f>
        <v>4.6013563571389859E-3</v>
      </c>
      <c r="C6" s="12">
        <f>'K2'!B7</f>
        <v>1.9255545279085018E-2</v>
      </c>
      <c r="D6" s="12">
        <f>'K3'!B7</f>
        <v>2.6810787939486325E-2</v>
      </c>
      <c r="E6" s="12">
        <f>'K4'!B7</f>
        <v>6.7805422329021869E-2</v>
      </c>
      <c r="F6" s="12"/>
    </row>
    <row r="7" spans="1:7" x14ac:dyDescent="0.25">
      <c r="A7" s="5" t="s">
        <v>40</v>
      </c>
      <c r="B7" s="16">
        <f>B2*B6+C2*C6+D2*D6+E2*E6</f>
        <v>2.3988173559271086E-2</v>
      </c>
      <c r="C7" s="14"/>
      <c r="D7" s="14"/>
      <c r="E7" s="14"/>
      <c r="F7" s="14"/>
    </row>
    <row r="8" spans="1:7" x14ac:dyDescent="0.25">
      <c r="A8" s="5" t="s">
        <v>41</v>
      </c>
      <c r="B8" s="17">
        <f>B7/Данные!D19</f>
        <v>4.1358919929777735E-2</v>
      </c>
      <c r="C8" s="15"/>
      <c r="D8" s="15"/>
      <c r="E8" s="15"/>
      <c r="F8" s="15"/>
    </row>
  </sheetData>
  <conditionalFormatting sqref="F3: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17E7-2FB0-4F48-8DD7-6BDB71D1A76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E9D6F-BEC3-4EFE-AD94-ADD7D93FEAA4}">
  <dimension ref="A1:P21"/>
  <sheetViews>
    <sheetView tabSelected="1" workbookViewId="0">
      <selection activeCell="J19" sqref="J19"/>
    </sheetView>
  </sheetViews>
  <sheetFormatPr defaultRowHeight="15" x14ac:dyDescent="0.25"/>
  <cols>
    <col min="7" max="7" width="9.140625" customWidth="1"/>
  </cols>
  <sheetData>
    <row r="1" spans="1:16" x14ac:dyDescent="0.25">
      <c r="A1" t="s">
        <v>0</v>
      </c>
    </row>
    <row r="2" spans="1:16" x14ac:dyDescent="0.25">
      <c r="A2" t="s">
        <v>1</v>
      </c>
    </row>
    <row r="4" spans="1:16" x14ac:dyDescent="0.25">
      <c r="A4" t="s">
        <v>2</v>
      </c>
    </row>
    <row r="5" spans="1:16" x14ac:dyDescent="0.25">
      <c r="A5" s="1">
        <v>1</v>
      </c>
      <c r="B5" s="24" t="s">
        <v>45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25">
      <c r="A6" s="1">
        <v>2</v>
      </c>
      <c r="B6" s="24" t="s">
        <v>46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25">
      <c r="A7" s="1">
        <v>3</v>
      </c>
      <c r="B7" s="24" t="s">
        <v>47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25">
      <c r="A8" s="1">
        <v>4</v>
      </c>
      <c r="B8" s="24" t="s">
        <v>48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25">
      <c r="A9" s="13">
        <v>5</v>
      </c>
      <c r="B9" s="24" t="s">
        <v>50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</row>
    <row r="10" spans="1:16" x14ac:dyDescent="0.25">
      <c r="A10" s="13">
        <v>6</v>
      </c>
      <c r="B10" s="24" t="s">
        <v>49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</row>
    <row r="12" spans="1:16" x14ac:dyDescent="0.25">
      <c r="A12" s="2" t="s">
        <v>7</v>
      </c>
      <c r="B12" s="2"/>
      <c r="C12" s="2"/>
      <c r="D12" s="3">
        <v>6</v>
      </c>
    </row>
    <row r="13" spans="1:16" x14ac:dyDescent="0.25">
      <c r="A13" s="2" t="s">
        <v>8</v>
      </c>
      <c r="B13" s="2"/>
      <c r="C13" s="2"/>
      <c r="D13" s="3">
        <v>1.24</v>
      </c>
    </row>
    <row r="15" spans="1:16" x14ac:dyDescent="0.25">
      <c r="A15" t="s">
        <v>9</v>
      </c>
    </row>
    <row r="16" spans="1:16" x14ac:dyDescent="0.25">
      <c r="A16" s="1" t="s">
        <v>54</v>
      </c>
      <c r="B16" s="18" t="s">
        <v>51</v>
      </c>
      <c r="C16" s="19"/>
      <c r="D16" s="19"/>
      <c r="E16" s="20"/>
    </row>
    <row r="17" spans="1:5" x14ac:dyDescent="0.25">
      <c r="A17" s="1" t="s">
        <v>55</v>
      </c>
      <c r="B17" s="18" t="s">
        <v>52</v>
      </c>
      <c r="C17" s="19"/>
      <c r="D17" s="19"/>
      <c r="E17" s="20"/>
    </row>
    <row r="18" spans="1:5" x14ac:dyDescent="0.25">
      <c r="A18" s="1" t="s">
        <v>56</v>
      </c>
      <c r="B18" s="21" t="s">
        <v>53</v>
      </c>
      <c r="C18" s="22"/>
      <c r="D18" s="22"/>
      <c r="E18" s="23"/>
    </row>
    <row r="20" spans="1:5" x14ac:dyDescent="0.25">
      <c r="A20" s="18" t="s">
        <v>16</v>
      </c>
      <c r="B20" s="19"/>
      <c r="C20" s="20"/>
      <c r="D20" s="3">
        <v>3</v>
      </c>
    </row>
    <row r="21" spans="1:5" x14ac:dyDescent="0.25">
      <c r="A21" s="18" t="s">
        <v>17</v>
      </c>
      <c r="B21" s="19"/>
      <c r="C21" s="20"/>
      <c r="D21" s="3">
        <v>0.57999999999999996</v>
      </c>
    </row>
  </sheetData>
  <mergeCells count="13">
    <mergeCell ref="A20:C20"/>
    <mergeCell ref="A21:C21"/>
    <mergeCell ref="B9:P9"/>
    <mergeCell ref="B10:P10"/>
    <mergeCell ref="B16:E16"/>
    <mergeCell ref="B17:E17"/>
    <mergeCell ref="B18:E18"/>
    <mergeCell ref="B5:P5"/>
    <mergeCell ref="B6:P6"/>
    <mergeCell ref="B7:P7"/>
    <mergeCell ref="B8:P8"/>
    <mergeCell ref="A12:C12"/>
    <mergeCell ref="A13:C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7D938-D4B1-4A1C-BC56-9398148CA137}">
  <dimension ref="A1:D7"/>
  <sheetViews>
    <sheetView workbookViewId="0">
      <selection activeCell="D12" sqref="D12"/>
    </sheetView>
  </sheetViews>
  <sheetFormatPr defaultRowHeight="15" x14ac:dyDescent="0.25"/>
  <cols>
    <col min="1" max="1" width="31.7109375" bestFit="1" customWidth="1"/>
    <col min="2" max="4" width="40.7109375" style="25" customWidth="1"/>
  </cols>
  <sheetData>
    <row r="1" spans="1:4" x14ac:dyDescent="0.25">
      <c r="A1" s="27" t="s">
        <v>57</v>
      </c>
      <c r="B1" s="28" t="s">
        <v>51</v>
      </c>
      <c r="C1" s="28" t="s">
        <v>52</v>
      </c>
      <c r="D1" s="28" t="s">
        <v>53</v>
      </c>
    </row>
    <row r="2" spans="1:4" ht="60" x14ac:dyDescent="0.25">
      <c r="A2" s="29" t="s">
        <v>58</v>
      </c>
      <c r="B2" s="26" t="s">
        <v>59</v>
      </c>
      <c r="C2" s="26" t="s">
        <v>60</v>
      </c>
      <c r="D2" s="26" t="s">
        <v>61</v>
      </c>
    </row>
    <row r="3" spans="1:4" ht="60" x14ac:dyDescent="0.25">
      <c r="A3" s="29" t="s">
        <v>62</v>
      </c>
      <c r="B3" s="26" t="s">
        <v>63</v>
      </c>
      <c r="C3" s="26" t="s">
        <v>64</v>
      </c>
      <c r="D3" s="26" t="s">
        <v>65</v>
      </c>
    </row>
    <row r="4" spans="1:4" ht="45" x14ac:dyDescent="0.25">
      <c r="A4" s="29" t="s">
        <v>66</v>
      </c>
      <c r="B4" s="26" t="s">
        <v>81</v>
      </c>
      <c r="C4" s="26" t="s">
        <v>67</v>
      </c>
      <c r="D4" s="26" t="s">
        <v>68</v>
      </c>
    </row>
    <row r="5" spans="1:4" ht="30" x14ac:dyDescent="0.25">
      <c r="A5" s="29" t="s">
        <v>69</v>
      </c>
      <c r="B5" s="26" t="s">
        <v>70</v>
      </c>
      <c r="C5" s="26" t="s">
        <v>71</v>
      </c>
      <c r="D5" s="26" t="s">
        <v>82</v>
      </c>
    </row>
    <row r="6" spans="1:4" ht="45" x14ac:dyDescent="0.25">
      <c r="A6" s="29" t="s">
        <v>72</v>
      </c>
      <c r="B6" s="26" t="s">
        <v>77</v>
      </c>
      <c r="C6" s="26" t="s">
        <v>78</v>
      </c>
      <c r="D6" s="26" t="s">
        <v>83</v>
      </c>
    </row>
    <row r="7" spans="1:4" ht="60" x14ac:dyDescent="0.25">
      <c r="A7" s="29" t="s">
        <v>73</v>
      </c>
      <c r="B7" s="26" t="s">
        <v>74</v>
      </c>
      <c r="C7" s="26" t="s">
        <v>75</v>
      </c>
      <c r="D7" s="26" t="s">
        <v>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27B89-9C4C-42BD-9D4F-0E4BF4F000DE}">
  <dimension ref="A1:I11"/>
  <sheetViews>
    <sheetView workbookViewId="0">
      <selection activeCell="B11" sqref="B11"/>
    </sheetView>
  </sheetViews>
  <sheetFormatPr defaultRowHeight="15" x14ac:dyDescent="0.25"/>
  <cols>
    <col min="2" max="9" width="15.7109375" customWidth="1"/>
  </cols>
  <sheetData>
    <row r="1" spans="1:9" x14ac:dyDescent="0.25">
      <c r="A1" s="1"/>
      <c r="B1" s="4" t="s">
        <v>18</v>
      </c>
      <c r="C1" s="4" t="s">
        <v>19</v>
      </c>
      <c r="D1" s="4" t="s">
        <v>20</v>
      </c>
      <c r="E1" s="4" t="s">
        <v>21</v>
      </c>
      <c r="F1" s="4" t="s">
        <v>79</v>
      </c>
      <c r="G1" s="4" t="s">
        <v>80</v>
      </c>
      <c r="H1" s="5" t="s">
        <v>22</v>
      </c>
      <c r="I1" s="5" t="s">
        <v>27</v>
      </c>
    </row>
    <row r="2" spans="1:9" x14ac:dyDescent="0.25">
      <c r="A2" s="4" t="s">
        <v>18</v>
      </c>
      <c r="B2" s="6">
        <v>1</v>
      </c>
      <c r="C2" s="6">
        <f>1/2</f>
        <v>0.5</v>
      </c>
      <c r="D2" s="6">
        <v>1</v>
      </c>
      <c r="E2" s="6">
        <v>3</v>
      </c>
      <c r="F2" s="6">
        <f>1/3</f>
        <v>0.33333333333333331</v>
      </c>
      <c r="G2" s="6">
        <v>2</v>
      </c>
      <c r="H2" s="7">
        <f>POWER(PRODUCT(B2:G2), 1/6)</f>
        <v>1</v>
      </c>
      <c r="I2" s="7">
        <f>H2/$H$8</f>
        <v>0.13643914300802859</v>
      </c>
    </row>
    <row r="3" spans="1:9" x14ac:dyDescent="0.25">
      <c r="A3" s="4" t="s">
        <v>19</v>
      </c>
      <c r="B3" s="6">
        <f>1/C2</f>
        <v>2</v>
      </c>
      <c r="C3" s="6">
        <v>1</v>
      </c>
      <c r="D3" s="6">
        <v>2</v>
      </c>
      <c r="E3" s="6">
        <v>4</v>
      </c>
      <c r="F3" s="6">
        <f>1/2</f>
        <v>0.5</v>
      </c>
      <c r="G3" s="6">
        <v>3</v>
      </c>
      <c r="H3" s="7">
        <f t="shared" ref="H3:H7" si="0">POWER(PRODUCT(B3:G3), 1/6)</f>
        <v>1.6983813295649528</v>
      </c>
      <c r="I3" s="7">
        <f t="shared" ref="I3:I7" si="1">H3/$H$8</f>
        <v>0.23172569310667832</v>
      </c>
    </row>
    <row r="4" spans="1:9" x14ac:dyDescent="0.25">
      <c r="A4" s="4" t="s">
        <v>20</v>
      </c>
      <c r="B4" s="6">
        <f>1/D2</f>
        <v>1</v>
      </c>
      <c r="C4" s="6">
        <f>1/D3</f>
        <v>0.5</v>
      </c>
      <c r="D4" s="6">
        <v>1</v>
      </c>
      <c r="E4" s="6">
        <v>3</v>
      </c>
      <c r="F4" s="6">
        <f>1/3</f>
        <v>0.33333333333333331</v>
      </c>
      <c r="G4" s="6">
        <v>2</v>
      </c>
      <c r="H4" s="7">
        <f t="shared" si="0"/>
        <v>1</v>
      </c>
      <c r="I4" s="7">
        <f t="shared" si="1"/>
        <v>0.13643914300802859</v>
      </c>
    </row>
    <row r="5" spans="1:9" x14ac:dyDescent="0.25">
      <c r="A5" s="4" t="s">
        <v>21</v>
      </c>
      <c r="B5" s="6">
        <f>1/E2</f>
        <v>0.33333333333333331</v>
      </c>
      <c r="C5" s="6">
        <f>1/E3</f>
        <v>0.25</v>
      </c>
      <c r="D5" s="6">
        <f>1/E4</f>
        <v>0.33333333333333331</v>
      </c>
      <c r="E5" s="6">
        <v>1</v>
      </c>
      <c r="F5" s="6">
        <f>1/5</f>
        <v>0.2</v>
      </c>
      <c r="G5" s="6">
        <f>1/2</f>
        <v>0.5</v>
      </c>
      <c r="H5" s="7">
        <f t="shared" si="0"/>
        <v>0.37492947454638037</v>
      </c>
      <c r="I5" s="7">
        <f t="shared" si="1"/>
        <v>5.1155056195558601E-2</v>
      </c>
    </row>
    <row r="6" spans="1:9" x14ac:dyDescent="0.25">
      <c r="A6" s="4" t="s">
        <v>79</v>
      </c>
      <c r="B6" s="6">
        <f>1/F2</f>
        <v>3</v>
      </c>
      <c r="C6" s="6">
        <f>1/F3</f>
        <v>2</v>
      </c>
      <c r="D6" s="6">
        <f>1/F4</f>
        <v>3</v>
      </c>
      <c r="E6" s="6">
        <f>1/F5</f>
        <v>5</v>
      </c>
      <c r="F6" s="6">
        <v>1</v>
      </c>
      <c r="G6" s="6">
        <v>4</v>
      </c>
      <c r="H6" s="7">
        <f t="shared" si="0"/>
        <v>2.6671682753399955</v>
      </c>
      <c r="I6" s="7">
        <f t="shared" si="1"/>
        <v>0.3639061537455906</v>
      </c>
    </row>
    <row r="7" spans="1:9" x14ac:dyDescent="0.25">
      <c r="A7" s="4" t="s">
        <v>80</v>
      </c>
      <c r="B7" s="6">
        <f>1/G2</f>
        <v>0.5</v>
      </c>
      <c r="C7" s="6">
        <f>1/G3</f>
        <v>0.33333333333333331</v>
      </c>
      <c r="D7" s="6">
        <f>1/G4</f>
        <v>0.5</v>
      </c>
      <c r="E7" s="6">
        <f>1/G5</f>
        <v>2</v>
      </c>
      <c r="F7" s="6">
        <f>1/G6</f>
        <v>0.25</v>
      </c>
      <c r="G7" s="6">
        <v>1</v>
      </c>
      <c r="H7" s="7">
        <f t="shared" si="0"/>
        <v>0.58879592150024052</v>
      </c>
      <c r="I7" s="7">
        <f t="shared" si="1"/>
        <v>8.0334810936115289E-2</v>
      </c>
    </row>
    <row r="8" spans="1:9" x14ac:dyDescent="0.25">
      <c r="A8" s="5" t="s">
        <v>23</v>
      </c>
      <c r="B8" s="8">
        <f t="shared" ref="B8:G8" si="2">SUM(B2:B7)</f>
        <v>7.833333333333333</v>
      </c>
      <c r="C8" s="8">
        <f t="shared" ref="C8" si="3">SUM(C2:C7)</f>
        <v>4.583333333333333</v>
      </c>
      <c r="D8" s="8">
        <f t="shared" ref="D8" si="4">SUM(D2:D7)</f>
        <v>7.833333333333333</v>
      </c>
      <c r="E8" s="8">
        <f t="shared" ref="E8" si="5">SUM(E2:E7)</f>
        <v>18</v>
      </c>
      <c r="F8" s="8">
        <f t="shared" ref="F8" si="6">SUM(F2:F7)</f>
        <v>2.6166666666666663</v>
      </c>
      <c r="G8" s="8">
        <f t="shared" ref="G8" si="7">SUM(G2:G7)</f>
        <v>12.5</v>
      </c>
      <c r="H8" s="8">
        <f t="shared" ref="H8" si="8">SUM(H2:H7)</f>
        <v>7.3292750009515695</v>
      </c>
      <c r="I8" s="8">
        <f t="shared" ref="I8" si="9">SUM(I2:I7)</f>
        <v>1</v>
      </c>
    </row>
    <row r="9" spans="1:9" x14ac:dyDescent="0.25">
      <c r="A9" s="5" t="s">
        <v>24</v>
      </c>
      <c r="B9" s="17">
        <f>B8*I2+C8*I3+D8*I4+E8*I5+F8*I6+G8*I7</f>
        <v>6.0768199177205142</v>
      </c>
      <c r="C9" s="1"/>
      <c r="D9" s="1"/>
      <c r="E9" s="1"/>
      <c r="F9" s="1"/>
      <c r="G9" s="1"/>
      <c r="H9" s="1"/>
      <c r="I9" s="1"/>
    </row>
    <row r="10" spans="1:9" x14ac:dyDescent="0.25">
      <c r="A10" s="5" t="s">
        <v>25</v>
      </c>
      <c r="B10" s="17">
        <f>(B9-'2Данные'!D12)/('2Данные'!D12 - 1)</f>
        <v>1.5363983544102844E-2</v>
      </c>
      <c r="C10" s="1"/>
      <c r="D10" s="1"/>
      <c r="E10" s="1"/>
      <c r="F10" s="1"/>
      <c r="G10" s="1"/>
      <c r="H10" s="1"/>
      <c r="I10" s="1"/>
    </row>
    <row r="11" spans="1:9" x14ac:dyDescent="0.25">
      <c r="A11" s="5" t="s">
        <v>26</v>
      </c>
      <c r="B11" s="17">
        <f>B10/'2Данные'!D13</f>
        <v>1.2390309309760358E-2</v>
      </c>
      <c r="C11" s="1"/>
      <c r="D11" s="1"/>
      <c r="E11" s="1"/>
      <c r="F11" s="1"/>
      <c r="G11" s="1"/>
      <c r="H11" s="1"/>
      <c r="I11" s="1"/>
    </row>
  </sheetData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49D1B-994E-4F83-8186-B23ABFFB0A9B}">
  <dimension ref="A1:F8"/>
  <sheetViews>
    <sheetView workbookViewId="0">
      <selection activeCell="B7" sqref="B7:B8"/>
    </sheetView>
  </sheetViews>
  <sheetFormatPr defaultRowHeight="15" x14ac:dyDescent="0.25"/>
  <cols>
    <col min="2" max="4" width="20.7109375" customWidth="1"/>
    <col min="5" max="5" width="33.42578125" customWidth="1"/>
    <col min="6" max="6" width="29" customWidth="1"/>
  </cols>
  <sheetData>
    <row r="1" spans="1:6" x14ac:dyDescent="0.25">
      <c r="A1" s="1"/>
      <c r="B1" s="4" t="s">
        <v>54</v>
      </c>
      <c r="C1" s="4" t="s">
        <v>55</v>
      </c>
      <c r="D1" s="4" t="s">
        <v>56</v>
      </c>
      <c r="E1" s="5" t="s">
        <v>22</v>
      </c>
      <c r="F1" s="5" t="s">
        <v>27</v>
      </c>
    </row>
    <row r="2" spans="1:6" x14ac:dyDescent="0.25">
      <c r="A2" s="4" t="s">
        <v>54</v>
      </c>
      <c r="B2" s="6">
        <v>1</v>
      </c>
      <c r="C2" s="6">
        <f>1/2</f>
        <v>0.5</v>
      </c>
      <c r="D2" s="6">
        <f>1/3</f>
        <v>0.33333333333333331</v>
      </c>
      <c r="E2" s="7">
        <f>POWER(PRODUCT(B2:D2), 1/3)</f>
        <v>0.55032120814910446</v>
      </c>
      <c r="F2" s="7">
        <f>E2/$E$5</f>
        <v>0.16342411856642791</v>
      </c>
    </row>
    <row r="3" spans="1:6" x14ac:dyDescent="0.25">
      <c r="A3" s="4" t="s">
        <v>55</v>
      </c>
      <c r="B3" s="6">
        <f>1/C2</f>
        <v>2</v>
      </c>
      <c r="C3" s="6">
        <v>1</v>
      </c>
      <c r="D3" s="6">
        <f>1/2</f>
        <v>0.5</v>
      </c>
      <c r="E3" s="7">
        <f>POWER(PRODUCT(B3:D3), 1/3)</f>
        <v>1</v>
      </c>
      <c r="F3" s="7">
        <f>E3/$E$5</f>
        <v>0.2969613312124974</v>
      </c>
    </row>
    <row r="4" spans="1:6" x14ac:dyDescent="0.25">
      <c r="A4" s="4" t="s">
        <v>56</v>
      </c>
      <c r="B4" s="6">
        <f>1/D2</f>
        <v>3</v>
      </c>
      <c r="C4" s="6">
        <f>1/D3</f>
        <v>2</v>
      </c>
      <c r="D4" s="6">
        <v>1</v>
      </c>
      <c r="E4" s="7">
        <f>POWER(PRODUCT(B4:D4), 1/3)</f>
        <v>1.8171205928321397</v>
      </c>
      <c r="F4" s="7">
        <f>E4/$E$5</f>
        <v>0.53961455022107463</v>
      </c>
    </row>
    <row r="5" spans="1:6" x14ac:dyDescent="0.25">
      <c r="A5" s="5" t="s">
        <v>23</v>
      </c>
      <c r="B5" s="8">
        <f>SUM(B2:B4)</f>
        <v>6</v>
      </c>
      <c r="C5" s="8">
        <f>SUM(C2:C4)</f>
        <v>3.5</v>
      </c>
      <c r="D5" s="9">
        <f>SUM(D2:D4)</f>
        <v>1.8333333333333333</v>
      </c>
      <c r="E5" s="10">
        <f>SUM(E2:E4)</f>
        <v>3.3674418009812443</v>
      </c>
      <c r="F5" s="10">
        <f>SUM(F2:F4)</f>
        <v>1</v>
      </c>
    </row>
    <row r="6" spans="1:6" x14ac:dyDescent="0.25">
      <c r="A6" s="5" t="s">
        <v>24</v>
      </c>
      <c r="B6" s="17">
        <f>B5*F2+C5*F3+D5*F4</f>
        <v>3.009202712714278</v>
      </c>
      <c r="C6" s="1"/>
      <c r="D6" s="1"/>
      <c r="E6" s="1"/>
      <c r="F6" s="1"/>
    </row>
    <row r="7" spans="1:6" x14ac:dyDescent="0.25">
      <c r="A7" s="5" t="s">
        <v>25</v>
      </c>
      <c r="B7" s="17">
        <f>(B6-'2Данные'!D20)/('2Данные'!D20 - 1)</f>
        <v>4.6013563571389859E-3</v>
      </c>
      <c r="C7" s="1"/>
      <c r="D7" s="1"/>
      <c r="E7" s="1"/>
      <c r="F7" s="1"/>
    </row>
    <row r="8" spans="1:6" x14ac:dyDescent="0.25">
      <c r="A8" s="5" t="s">
        <v>26</v>
      </c>
      <c r="B8" s="17">
        <f>B7/'2Данные'!D21</f>
        <v>7.9333730295499758E-3</v>
      </c>
      <c r="C8" s="1"/>
      <c r="D8" s="1"/>
      <c r="E8" s="1"/>
      <c r="F8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F48A0-5F9B-4CA4-93B4-81E4BEFDB5AF}">
  <dimension ref="A1:F8"/>
  <sheetViews>
    <sheetView workbookViewId="0">
      <selection activeCell="B7" sqref="B7:B8"/>
    </sheetView>
  </sheetViews>
  <sheetFormatPr defaultRowHeight="15" x14ac:dyDescent="0.25"/>
  <cols>
    <col min="2" max="4" width="20.7109375" customWidth="1"/>
    <col min="5" max="5" width="33.42578125" customWidth="1"/>
    <col min="6" max="6" width="29" customWidth="1"/>
  </cols>
  <sheetData>
    <row r="1" spans="1:6" x14ac:dyDescent="0.25">
      <c r="A1" s="1"/>
      <c r="B1" s="4" t="s">
        <v>54</v>
      </c>
      <c r="C1" s="4" t="s">
        <v>55</v>
      </c>
      <c r="D1" s="4" t="s">
        <v>56</v>
      </c>
      <c r="E1" s="5" t="s">
        <v>22</v>
      </c>
      <c r="F1" s="5" t="s">
        <v>27</v>
      </c>
    </row>
    <row r="2" spans="1:6" x14ac:dyDescent="0.25">
      <c r="A2" s="4" t="s">
        <v>54</v>
      </c>
      <c r="B2" s="6">
        <v>1</v>
      </c>
      <c r="C2" s="6">
        <f>1/3</f>
        <v>0.33333333333333331</v>
      </c>
      <c r="D2" s="6">
        <f>1/3</f>
        <v>0.33333333333333331</v>
      </c>
      <c r="E2" s="7">
        <f>POWER(PRODUCT(B2:D2), 1/3)</f>
        <v>0.48074985676913612</v>
      </c>
      <c r="F2" s="7">
        <f>E2/$E$5</f>
        <v>0.14285714285714288</v>
      </c>
    </row>
    <row r="3" spans="1:6" x14ac:dyDescent="0.25">
      <c r="A3" s="4" t="s">
        <v>55</v>
      </c>
      <c r="B3" s="6">
        <f>1/C2</f>
        <v>3</v>
      </c>
      <c r="C3" s="6">
        <v>1</v>
      </c>
      <c r="D3" s="6">
        <f>1</f>
        <v>1</v>
      </c>
      <c r="E3" s="7">
        <f>POWER(PRODUCT(B3:D3), 1/3)</f>
        <v>1.4422495703074083</v>
      </c>
      <c r="F3" s="7">
        <f>E3/$E$5</f>
        <v>0.4285714285714286</v>
      </c>
    </row>
    <row r="4" spans="1:6" x14ac:dyDescent="0.25">
      <c r="A4" s="4" t="s">
        <v>56</v>
      </c>
      <c r="B4" s="6">
        <f>1/D2</f>
        <v>3</v>
      </c>
      <c r="C4" s="6">
        <f>1/D3</f>
        <v>1</v>
      </c>
      <c r="D4" s="6">
        <v>1</v>
      </c>
      <c r="E4" s="7">
        <f>POWER(PRODUCT(B4:D4), 1/3)</f>
        <v>1.4422495703074083</v>
      </c>
      <c r="F4" s="7">
        <f>E4/$E$5</f>
        <v>0.4285714285714286</v>
      </c>
    </row>
    <row r="5" spans="1:6" x14ac:dyDescent="0.25">
      <c r="A5" s="5" t="s">
        <v>23</v>
      </c>
      <c r="B5" s="8">
        <f>SUM(B2:B4)</f>
        <v>7</v>
      </c>
      <c r="C5" s="8">
        <f>SUM(C2:C4)</f>
        <v>2.333333333333333</v>
      </c>
      <c r="D5" s="9">
        <f>SUM(D2:D4)</f>
        <v>2.333333333333333</v>
      </c>
      <c r="E5" s="10">
        <f>SUM(E2:E4)</f>
        <v>3.3652489973839526</v>
      </c>
      <c r="F5" s="10">
        <f>SUM(F2:F4)</f>
        <v>1</v>
      </c>
    </row>
    <row r="6" spans="1:6" x14ac:dyDescent="0.25">
      <c r="A6" s="5" t="s">
        <v>24</v>
      </c>
      <c r="B6" s="17">
        <f>B5*F2+C5*F3+D5*F4</f>
        <v>3</v>
      </c>
      <c r="C6" s="1"/>
      <c r="D6" s="1"/>
      <c r="E6" s="1"/>
      <c r="F6" s="1"/>
    </row>
    <row r="7" spans="1:6" x14ac:dyDescent="0.25">
      <c r="A7" s="5" t="s">
        <v>25</v>
      </c>
      <c r="B7" s="17">
        <f>(B6-'2Данные'!D20)/('2Данные'!D20 - 1)</f>
        <v>0</v>
      </c>
      <c r="C7" s="1"/>
      <c r="D7" s="1"/>
      <c r="E7" s="1"/>
      <c r="F7" s="1"/>
    </row>
    <row r="8" spans="1:6" x14ac:dyDescent="0.25">
      <c r="A8" s="5" t="s">
        <v>26</v>
      </c>
      <c r="B8" s="17">
        <f>B7/'2Данные'!D21</f>
        <v>0</v>
      </c>
      <c r="C8" s="1"/>
      <c r="D8" s="1"/>
      <c r="E8" s="1"/>
      <c r="F8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BF761-AD55-4161-BD7E-48EA20C59A31}">
  <dimension ref="A1:F8"/>
  <sheetViews>
    <sheetView workbookViewId="0">
      <selection activeCell="B7" sqref="B7:B8"/>
    </sheetView>
  </sheetViews>
  <sheetFormatPr defaultRowHeight="15" x14ac:dyDescent="0.25"/>
  <cols>
    <col min="2" max="4" width="20.7109375" customWidth="1"/>
    <col min="5" max="5" width="33.42578125" customWidth="1"/>
    <col min="6" max="6" width="29" customWidth="1"/>
  </cols>
  <sheetData>
    <row r="1" spans="1:6" x14ac:dyDescent="0.25">
      <c r="A1" s="1"/>
      <c r="B1" s="4" t="s">
        <v>54</v>
      </c>
      <c r="C1" s="4" t="s">
        <v>55</v>
      </c>
      <c r="D1" s="4" t="s">
        <v>56</v>
      </c>
      <c r="E1" s="5" t="s">
        <v>22</v>
      </c>
      <c r="F1" s="5" t="s">
        <v>27</v>
      </c>
    </row>
    <row r="2" spans="1:6" x14ac:dyDescent="0.25">
      <c r="A2" s="4" t="s">
        <v>54</v>
      </c>
      <c r="B2" s="6">
        <v>1</v>
      </c>
      <c r="C2" s="6">
        <v>1</v>
      </c>
      <c r="D2" s="6">
        <f>1/2</f>
        <v>0.5</v>
      </c>
      <c r="E2" s="7">
        <f>POWER(PRODUCT(B2:D2), 1/3)</f>
        <v>0.79370052598409979</v>
      </c>
      <c r="F2" s="7">
        <f>E2/$E$5</f>
        <v>0.25000000000000006</v>
      </c>
    </row>
    <row r="3" spans="1:6" x14ac:dyDescent="0.25">
      <c r="A3" s="4" t="s">
        <v>55</v>
      </c>
      <c r="B3" s="6">
        <f>1/C2</f>
        <v>1</v>
      </c>
      <c r="C3" s="6">
        <v>1</v>
      </c>
      <c r="D3" s="6">
        <f>1/2</f>
        <v>0.5</v>
      </c>
      <c r="E3" s="7">
        <f>POWER(PRODUCT(B3:D3), 1/3)</f>
        <v>0.79370052598409979</v>
      </c>
      <c r="F3" s="7">
        <f>E3/$E$5</f>
        <v>0.25000000000000006</v>
      </c>
    </row>
    <row r="4" spans="1:6" x14ac:dyDescent="0.25">
      <c r="A4" s="4" t="s">
        <v>56</v>
      </c>
      <c r="B4" s="6">
        <f>1/D2</f>
        <v>2</v>
      </c>
      <c r="C4" s="6">
        <f>1/D3</f>
        <v>2</v>
      </c>
      <c r="D4" s="6">
        <v>1</v>
      </c>
      <c r="E4" s="7">
        <f>POWER(PRODUCT(B4:D4), 1/3)</f>
        <v>1.5874010519681994</v>
      </c>
      <c r="F4" s="7">
        <f>E4/$E$5</f>
        <v>0.5</v>
      </c>
    </row>
    <row r="5" spans="1:6" x14ac:dyDescent="0.25">
      <c r="A5" s="5" t="s">
        <v>23</v>
      </c>
      <c r="B5" s="8">
        <f>SUM(B2:B4)</f>
        <v>4</v>
      </c>
      <c r="C5" s="8">
        <f>SUM(C2:C4)</f>
        <v>4</v>
      </c>
      <c r="D5" s="9">
        <f>SUM(D2:D4)</f>
        <v>2</v>
      </c>
      <c r="E5" s="10">
        <f>SUM(E2:E4)</f>
        <v>3.1748021039363987</v>
      </c>
      <c r="F5" s="10">
        <f>SUM(F2:F4)</f>
        <v>1</v>
      </c>
    </row>
    <row r="6" spans="1:6" x14ac:dyDescent="0.25">
      <c r="A6" s="5" t="s">
        <v>24</v>
      </c>
      <c r="B6" s="17">
        <f>B5*F2+C5*F3+D5*F4</f>
        <v>3.0000000000000004</v>
      </c>
      <c r="C6" s="1"/>
      <c r="D6" s="1"/>
      <c r="E6" s="1"/>
      <c r="F6" s="1"/>
    </row>
    <row r="7" spans="1:6" x14ac:dyDescent="0.25">
      <c r="A7" s="5" t="s">
        <v>25</v>
      </c>
      <c r="B7" s="17">
        <f>(B6-'2Данные'!D20)/('2Данные'!D20 - 1)</f>
        <v>2.2204460492503131E-16</v>
      </c>
      <c r="C7" s="1"/>
      <c r="D7" s="1"/>
      <c r="E7" s="1"/>
      <c r="F7" s="1"/>
    </row>
    <row r="8" spans="1:6" x14ac:dyDescent="0.25">
      <c r="A8" s="5" t="s">
        <v>26</v>
      </c>
      <c r="B8" s="17">
        <f>B7/'2Данные'!D21</f>
        <v>3.8283552573281263E-16</v>
      </c>
      <c r="C8" s="1"/>
      <c r="D8" s="1"/>
      <c r="E8" s="1"/>
      <c r="F8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F7632-4300-48B6-AA53-2AB37E081FD3}">
  <dimension ref="A1:F8"/>
  <sheetViews>
    <sheetView workbookViewId="0">
      <selection activeCell="B7" sqref="B7:B8"/>
    </sheetView>
  </sheetViews>
  <sheetFormatPr defaultRowHeight="15" x14ac:dyDescent="0.25"/>
  <cols>
    <col min="2" max="4" width="20.7109375" customWidth="1"/>
    <col min="5" max="5" width="33.42578125" customWidth="1"/>
    <col min="6" max="6" width="29" customWidth="1"/>
  </cols>
  <sheetData>
    <row r="1" spans="1:6" x14ac:dyDescent="0.25">
      <c r="A1" s="1"/>
      <c r="B1" s="4" t="s">
        <v>54</v>
      </c>
      <c r="C1" s="4" t="s">
        <v>55</v>
      </c>
      <c r="D1" s="4" t="s">
        <v>56</v>
      </c>
      <c r="E1" s="5" t="s">
        <v>22</v>
      </c>
      <c r="F1" s="5" t="s">
        <v>27</v>
      </c>
    </row>
    <row r="2" spans="1:6" x14ac:dyDescent="0.25">
      <c r="A2" s="4" t="s">
        <v>54</v>
      </c>
      <c r="B2" s="6">
        <v>1</v>
      </c>
      <c r="C2" s="6">
        <v>1</v>
      </c>
      <c r="D2" s="6">
        <v>5</v>
      </c>
      <c r="E2" s="7">
        <f>POWER(PRODUCT(B2:D2), 1/3)</f>
        <v>1.7099759466766968</v>
      </c>
      <c r="F2" s="7">
        <f>E2/$E$5</f>
        <v>0.45454545454545453</v>
      </c>
    </row>
    <row r="3" spans="1:6" x14ac:dyDescent="0.25">
      <c r="A3" s="4" t="s">
        <v>55</v>
      </c>
      <c r="B3" s="6">
        <f>1/C2</f>
        <v>1</v>
      </c>
      <c r="C3" s="6">
        <v>1</v>
      </c>
      <c r="D3" s="6">
        <v>5</v>
      </c>
      <c r="E3" s="7">
        <f>POWER(PRODUCT(B3:D3), 1/3)</f>
        <v>1.7099759466766968</v>
      </c>
      <c r="F3" s="7">
        <f>E3/$E$5</f>
        <v>0.45454545454545453</v>
      </c>
    </row>
    <row r="4" spans="1:6" x14ac:dyDescent="0.25">
      <c r="A4" s="4" t="s">
        <v>56</v>
      </c>
      <c r="B4" s="6">
        <f>1/D2</f>
        <v>0.2</v>
      </c>
      <c r="C4" s="6">
        <f>1/D3</f>
        <v>0.2</v>
      </c>
      <c r="D4" s="6">
        <v>1</v>
      </c>
      <c r="E4" s="7">
        <f>POWER(PRODUCT(B4:D4), 1/3)</f>
        <v>0.34199518933533946</v>
      </c>
      <c r="F4" s="7">
        <f>E4/$E$5</f>
        <v>9.0909090909090925E-2</v>
      </c>
    </row>
    <row r="5" spans="1:6" x14ac:dyDescent="0.25">
      <c r="A5" s="5" t="s">
        <v>23</v>
      </c>
      <c r="B5" s="8">
        <f>SUM(B2:B4)</f>
        <v>2.2000000000000002</v>
      </c>
      <c r="C5" s="8">
        <f>SUM(C2:C4)</f>
        <v>2.2000000000000002</v>
      </c>
      <c r="D5" s="9">
        <f>SUM(D2:D4)</f>
        <v>11</v>
      </c>
      <c r="E5" s="10">
        <f>SUM(E2:E4)</f>
        <v>3.7619470826887333</v>
      </c>
      <c r="F5" s="10">
        <f>SUM(F2:F4)</f>
        <v>1</v>
      </c>
    </row>
    <row r="6" spans="1:6" x14ac:dyDescent="0.25">
      <c r="A6" s="5" t="s">
        <v>24</v>
      </c>
      <c r="B6" s="17">
        <f>B5*F2+C5*F3+D5*F4</f>
        <v>3</v>
      </c>
      <c r="C6" s="1"/>
      <c r="D6" s="1"/>
      <c r="E6" s="1"/>
      <c r="F6" s="1"/>
    </row>
    <row r="7" spans="1:6" x14ac:dyDescent="0.25">
      <c r="A7" s="5" t="s">
        <v>25</v>
      </c>
      <c r="B7" s="17">
        <f>(B6-'2Данные'!D20)/('2Данные'!D20 - 1)</f>
        <v>0</v>
      </c>
      <c r="C7" s="1"/>
      <c r="D7" s="1"/>
      <c r="E7" s="1"/>
      <c r="F7" s="1"/>
    </row>
    <row r="8" spans="1:6" x14ac:dyDescent="0.25">
      <c r="A8" s="5" t="s">
        <v>26</v>
      </c>
      <c r="B8" s="17">
        <f>B7/'2Данные'!D21</f>
        <v>0</v>
      </c>
      <c r="C8" s="1"/>
      <c r="D8" s="1"/>
      <c r="E8" s="1"/>
      <c r="F8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07D51-628E-4953-BB30-828F5C700DCE}">
  <dimension ref="A1:F8"/>
  <sheetViews>
    <sheetView workbookViewId="0">
      <selection activeCell="B7" sqref="B7:B8"/>
    </sheetView>
  </sheetViews>
  <sheetFormatPr defaultRowHeight="15" x14ac:dyDescent="0.25"/>
  <cols>
    <col min="2" max="4" width="20.7109375" customWidth="1"/>
    <col min="5" max="5" width="33.42578125" customWidth="1"/>
    <col min="6" max="6" width="29" customWidth="1"/>
  </cols>
  <sheetData>
    <row r="1" spans="1:6" x14ac:dyDescent="0.25">
      <c r="A1" s="1"/>
      <c r="B1" s="4" t="s">
        <v>54</v>
      </c>
      <c r="C1" s="4" t="s">
        <v>55</v>
      </c>
      <c r="D1" s="4" t="s">
        <v>56</v>
      </c>
      <c r="E1" s="5" t="s">
        <v>22</v>
      </c>
      <c r="F1" s="5" t="s">
        <v>27</v>
      </c>
    </row>
    <row r="2" spans="1:6" x14ac:dyDescent="0.25">
      <c r="A2" s="4" t="s">
        <v>54</v>
      </c>
      <c r="B2" s="6">
        <v>1</v>
      </c>
      <c r="C2" s="6">
        <v>1</v>
      </c>
      <c r="D2" s="6">
        <v>9</v>
      </c>
      <c r="E2" s="7">
        <f>POWER(PRODUCT(B2:D2), 1/3)</f>
        <v>2.0800838230519041</v>
      </c>
      <c r="F2" s="7">
        <f>E2/$E$5</f>
        <v>0.47368421052631576</v>
      </c>
    </row>
    <row r="3" spans="1:6" x14ac:dyDescent="0.25">
      <c r="A3" s="4" t="s">
        <v>55</v>
      </c>
      <c r="B3" s="6">
        <f>1/C2</f>
        <v>1</v>
      </c>
      <c r="C3" s="6">
        <v>1</v>
      </c>
      <c r="D3" s="6">
        <v>9</v>
      </c>
      <c r="E3" s="7">
        <f>POWER(PRODUCT(B3:D3), 1/3)</f>
        <v>2.0800838230519041</v>
      </c>
      <c r="F3" s="7">
        <f>E3/$E$5</f>
        <v>0.47368421052631576</v>
      </c>
    </row>
    <row r="4" spans="1:6" x14ac:dyDescent="0.25">
      <c r="A4" s="4" t="s">
        <v>56</v>
      </c>
      <c r="B4" s="6">
        <f>1/D2</f>
        <v>0.1111111111111111</v>
      </c>
      <c r="C4" s="6">
        <f>1/D3</f>
        <v>0.1111111111111111</v>
      </c>
      <c r="D4" s="6">
        <v>1</v>
      </c>
      <c r="E4" s="7">
        <f>POWER(PRODUCT(B4:D4), 1/3)</f>
        <v>0.23112042478354491</v>
      </c>
      <c r="F4" s="7">
        <f>E4/$E$5</f>
        <v>5.2631578947368425E-2</v>
      </c>
    </row>
    <row r="5" spans="1:6" x14ac:dyDescent="0.25">
      <c r="A5" s="5" t="s">
        <v>23</v>
      </c>
      <c r="B5" s="8">
        <f>SUM(B2:B4)</f>
        <v>2.1111111111111112</v>
      </c>
      <c r="C5" s="8">
        <f>SUM(C2:C4)</f>
        <v>2.1111111111111112</v>
      </c>
      <c r="D5" s="9">
        <f>SUM(D2:D4)</f>
        <v>19</v>
      </c>
      <c r="E5" s="10">
        <f>SUM(E2:E4)</f>
        <v>4.3912880708873532</v>
      </c>
      <c r="F5" s="10">
        <f>SUM(F2:F4)</f>
        <v>1</v>
      </c>
    </row>
    <row r="6" spans="1:6" x14ac:dyDescent="0.25">
      <c r="A6" s="5" t="s">
        <v>24</v>
      </c>
      <c r="B6" s="17">
        <f>B5*F2+C5*F3+D5*F4</f>
        <v>3</v>
      </c>
      <c r="C6" s="1"/>
      <c r="D6" s="1"/>
      <c r="E6" s="1"/>
      <c r="F6" s="1"/>
    </row>
    <row r="7" spans="1:6" x14ac:dyDescent="0.25">
      <c r="A7" s="5" t="s">
        <v>25</v>
      </c>
      <c r="B7" s="17">
        <f>(B6-'2Данные'!D20)/('2Данные'!D20 - 1)</f>
        <v>0</v>
      </c>
      <c r="C7" s="1"/>
      <c r="D7" s="1"/>
      <c r="E7" s="1"/>
      <c r="F7" s="1"/>
    </row>
    <row r="8" spans="1:6" x14ac:dyDescent="0.25">
      <c r="A8" s="5" t="s">
        <v>26</v>
      </c>
      <c r="B8" s="17">
        <f>B7/'2Данные'!D21</f>
        <v>0</v>
      </c>
      <c r="C8" s="1"/>
      <c r="D8" s="1"/>
      <c r="E8" s="1"/>
      <c r="F8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F8DF8-7719-43DB-ADDC-C0964A593B50}">
  <dimension ref="A1:F8"/>
  <sheetViews>
    <sheetView workbookViewId="0">
      <selection activeCell="D8" sqref="D8"/>
    </sheetView>
  </sheetViews>
  <sheetFormatPr defaultRowHeight="15" x14ac:dyDescent="0.25"/>
  <cols>
    <col min="2" max="4" width="20.7109375" customWidth="1"/>
    <col min="5" max="5" width="33.42578125" customWidth="1"/>
    <col min="6" max="6" width="29" customWidth="1"/>
  </cols>
  <sheetData>
    <row r="1" spans="1:6" x14ac:dyDescent="0.25">
      <c r="A1" s="1"/>
      <c r="B1" s="4" t="s">
        <v>54</v>
      </c>
      <c r="C1" s="4" t="s">
        <v>55</v>
      </c>
      <c r="D1" s="4" t="s">
        <v>56</v>
      </c>
      <c r="E1" s="5" t="s">
        <v>22</v>
      </c>
      <c r="F1" s="5" t="s">
        <v>27</v>
      </c>
    </row>
    <row r="2" spans="1:6" x14ac:dyDescent="0.25">
      <c r="A2" s="4" t="s">
        <v>54</v>
      </c>
      <c r="B2" s="6">
        <v>1</v>
      </c>
      <c r="C2" s="6">
        <v>2</v>
      </c>
      <c r="D2" s="6">
        <v>3</v>
      </c>
      <c r="E2" s="7">
        <f>POWER(PRODUCT(B2:D2), 1/3)</f>
        <v>1.8171205928321397</v>
      </c>
      <c r="F2" s="7">
        <f>E2/$E$5</f>
        <v>0.53961455022107463</v>
      </c>
    </row>
    <row r="3" spans="1:6" x14ac:dyDescent="0.25">
      <c r="A3" s="4" t="s">
        <v>55</v>
      </c>
      <c r="B3" s="6">
        <f>1/C2</f>
        <v>0.5</v>
      </c>
      <c r="C3" s="6">
        <v>1</v>
      </c>
      <c r="D3" s="6">
        <v>2</v>
      </c>
      <c r="E3" s="7">
        <f>POWER(PRODUCT(B3:D3), 1/3)</f>
        <v>1</v>
      </c>
      <c r="F3" s="7">
        <f>E3/$E$5</f>
        <v>0.2969613312124974</v>
      </c>
    </row>
    <row r="4" spans="1:6" x14ac:dyDescent="0.25">
      <c r="A4" s="4" t="s">
        <v>56</v>
      </c>
      <c r="B4" s="6">
        <f>1/D2</f>
        <v>0.33333333333333331</v>
      </c>
      <c r="C4" s="6">
        <f>1/D3</f>
        <v>0.5</v>
      </c>
      <c r="D4" s="6">
        <v>1</v>
      </c>
      <c r="E4" s="7">
        <f>POWER(PRODUCT(B4:D4), 1/3)</f>
        <v>0.55032120814910446</v>
      </c>
      <c r="F4" s="7">
        <f>E4/$E$5</f>
        <v>0.16342411856642791</v>
      </c>
    </row>
    <row r="5" spans="1:6" x14ac:dyDescent="0.25">
      <c r="A5" s="5" t="s">
        <v>23</v>
      </c>
      <c r="B5" s="8">
        <f>SUM(B2:B4)</f>
        <v>1.8333333333333333</v>
      </c>
      <c r="C5" s="8">
        <f>SUM(C2:C4)</f>
        <v>3.5</v>
      </c>
      <c r="D5" s="9">
        <f>SUM(D2:D4)</f>
        <v>6</v>
      </c>
      <c r="E5" s="10">
        <f>SUM(E2:E4)</f>
        <v>3.3674418009812443</v>
      </c>
      <c r="F5" s="10">
        <f>SUM(F2:F4)</f>
        <v>0.99999999999999989</v>
      </c>
    </row>
    <row r="6" spans="1:6" x14ac:dyDescent="0.25">
      <c r="A6" s="5" t="s">
        <v>24</v>
      </c>
      <c r="B6" s="17">
        <f>B5*F2+C5*F3+D5*F4</f>
        <v>3.0092027127142789</v>
      </c>
      <c r="C6" s="1"/>
      <c r="D6" s="1"/>
      <c r="E6" s="1"/>
      <c r="F6" s="1"/>
    </row>
    <row r="7" spans="1:6" x14ac:dyDescent="0.25">
      <c r="A7" s="5" t="s">
        <v>25</v>
      </c>
      <c r="B7" s="17">
        <f>(B6-'2Данные'!D20)/('2Данные'!D20 - 1)</f>
        <v>4.60135635713943E-3</v>
      </c>
      <c r="C7" s="1"/>
      <c r="D7" s="1"/>
      <c r="E7" s="1"/>
      <c r="F7" s="1"/>
    </row>
    <row r="8" spans="1:6" x14ac:dyDescent="0.25">
      <c r="A8" s="5" t="s">
        <v>26</v>
      </c>
      <c r="B8" s="17">
        <f>B7/'2Данные'!D21</f>
        <v>7.9333730295507426E-3</v>
      </c>
      <c r="C8" s="1"/>
      <c r="D8" s="1"/>
      <c r="E8" s="1"/>
      <c r="F8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9BB6D-67A3-4FC7-99DD-E8FF8AFA912A}">
  <dimension ref="A1:I8"/>
  <sheetViews>
    <sheetView workbookViewId="0">
      <selection activeCell="E15" sqref="E15"/>
    </sheetView>
  </sheetViews>
  <sheetFormatPr defaultRowHeight="15" x14ac:dyDescent="0.25"/>
  <cols>
    <col min="2" max="7" width="20.7109375" customWidth="1"/>
    <col min="8" max="8" width="33.42578125" customWidth="1"/>
  </cols>
  <sheetData>
    <row r="1" spans="1:9" x14ac:dyDescent="0.25">
      <c r="A1" s="32"/>
      <c r="B1" s="4" t="s">
        <v>18</v>
      </c>
      <c r="C1" s="4" t="s">
        <v>19</v>
      </c>
      <c r="D1" s="4" t="s">
        <v>20</v>
      </c>
      <c r="E1" s="4"/>
      <c r="F1" s="4"/>
      <c r="G1" s="4" t="s">
        <v>21</v>
      </c>
      <c r="H1" s="5" t="s">
        <v>42</v>
      </c>
    </row>
    <row r="2" spans="1:9" x14ac:dyDescent="0.25">
      <c r="A2" s="31"/>
      <c r="B2" s="11" cm="1">
        <f t="array" ref="B2:G2">TRANSPOSE('2Критерии'!G2:G7)</f>
        <v>2</v>
      </c>
      <c r="C2" s="11">
        <v>3</v>
      </c>
      <c r="D2" s="11">
        <v>2</v>
      </c>
      <c r="E2" s="11">
        <v>0.5</v>
      </c>
      <c r="F2" s="11">
        <v>4</v>
      </c>
      <c r="G2" s="11">
        <v>1</v>
      </c>
      <c r="H2" s="7"/>
    </row>
    <row r="3" spans="1:9" x14ac:dyDescent="0.25">
      <c r="A3" s="4" t="s">
        <v>54</v>
      </c>
      <c r="B3" s="11" cm="1">
        <f t="array" ref="B3:B5">'2K1'!F2:F4</f>
        <v>0.16342411856642791</v>
      </c>
      <c r="C3" s="11" cm="1">
        <f t="array" ref="C3:C5">'2K2'!F2:F4</f>
        <v>0.14285714285714288</v>
      </c>
      <c r="D3" s="11" cm="1">
        <f t="array" ref="D3:D5">'2K3'!F2:F4</f>
        <v>0.25000000000000006</v>
      </c>
      <c r="E3" s="11" cm="1">
        <f t="array" ref="E3:E5">'2K4'!F2:F4</f>
        <v>0.45454545454545453</v>
      </c>
      <c r="F3" s="11" cm="1">
        <f t="array" ref="F3:F5">'2K5'!F2:F4</f>
        <v>0.47368421052631576</v>
      </c>
      <c r="G3" s="11" cm="1">
        <f t="array" ref="G3:G5">'2K6'!F2:F4</f>
        <v>0.53961455022107463</v>
      </c>
      <c r="H3" s="7">
        <f>B$2*B3+C$2*C3+D$2*D3+E$2*E3+F$2*F3+G$2*G3</f>
        <v>3.9170437853033495</v>
      </c>
    </row>
    <row r="4" spans="1:9" x14ac:dyDescent="0.25">
      <c r="A4" s="4" t="s">
        <v>55</v>
      </c>
      <c r="B4" s="11">
        <v>0.2969613312124974</v>
      </c>
      <c r="C4" s="11">
        <v>0.4285714285714286</v>
      </c>
      <c r="D4" s="11">
        <v>0.25000000000000006</v>
      </c>
      <c r="E4" s="11">
        <v>0.45454545454545453</v>
      </c>
      <c r="F4" s="11">
        <v>0.47368421052631576</v>
      </c>
      <c r="G4" s="11">
        <v>0.2969613312124974</v>
      </c>
      <c r="H4" s="7">
        <f t="shared" ref="H4:H5" si="0">B$2*B4+C$2*C4+D$2*D4+E$2*E4+F$2*F4+G$2*G4</f>
        <v>4.7986078487297679</v>
      </c>
      <c r="I4" t="s">
        <v>43</v>
      </c>
    </row>
    <row r="5" spans="1:9" x14ac:dyDescent="0.25">
      <c r="A5" s="4" t="s">
        <v>56</v>
      </c>
      <c r="B5" s="11">
        <v>0.53961455022107463</v>
      </c>
      <c r="C5" s="11">
        <v>0.4285714285714286</v>
      </c>
      <c r="D5" s="11">
        <v>0.5</v>
      </c>
      <c r="E5" s="11">
        <v>9.0909090909090925E-2</v>
      </c>
      <c r="F5" s="11">
        <v>5.2631578947368425E-2</v>
      </c>
      <c r="G5" s="11">
        <v>0.16342411856642791</v>
      </c>
      <c r="H5" s="7">
        <f t="shared" si="0"/>
        <v>3.7843483659668822</v>
      </c>
      <c r="I5" t="s">
        <v>44</v>
      </c>
    </row>
    <row r="6" spans="1:9" x14ac:dyDescent="0.25">
      <c r="A6" s="5" t="s">
        <v>25</v>
      </c>
      <c r="B6" s="30">
        <f>'2K1'!B7</f>
        <v>4.6013563571389859E-3</v>
      </c>
      <c r="C6" s="30">
        <f>'2K2'!B7</f>
        <v>0</v>
      </c>
      <c r="D6" s="30">
        <f>'2K3'!B7</f>
        <v>2.2204460492503131E-16</v>
      </c>
      <c r="E6" s="30">
        <f>'2K4'!B7</f>
        <v>0</v>
      </c>
      <c r="F6" s="30">
        <f>'2K5'!B7</f>
        <v>0</v>
      </c>
      <c r="G6" s="30">
        <f>'2K6'!B7</f>
        <v>4.60135635713943E-3</v>
      </c>
      <c r="H6" s="12"/>
    </row>
    <row r="7" spans="1:9" x14ac:dyDescent="0.25">
      <c r="A7" s="5" t="s">
        <v>40</v>
      </c>
      <c r="B7" s="16">
        <f>B2*B6+C2*C6+D2*D6+G2*G6</f>
        <v>1.3804069071417846E-2</v>
      </c>
      <c r="C7" s="14"/>
      <c r="D7" s="14"/>
      <c r="E7" s="14"/>
      <c r="F7" s="14"/>
      <c r="G7" s="14"/>
      <c r="H7" s="14"/>
    </row>
    <row r="8" spans="1:9" x14ac:dyDescent="0.25">
      <c r="A8" s="5" t="s">
        <v>41</v>
      </c>
      <c r="B8" s="17">
        <f>B7/Данные!D19</f>
        <v>2.3800119088651459E-2</v>
      </c>
      <c r="C8" s="15"/>
      <c r="D8" s="15"/>
      <c r="E8" s="15"/>
      <c r="F8" s="15"/>
      <c r="G8" s="15"/>
      <c r="H8" s="15"/>
    </row>
  </sheetData>
  <conditionalFormatting sqref="H3:H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18</vt:i4>
      </vt:variant>
    </vt:vector>
  </HeadingPairs>
  <TitlesOfParts>
    <vt:vector size="18" baseType="lpstr">
      <vt:lpstr>Данные</vt:lpstr>
      <vt:lpstr>Критерии</vt:lpstr>
      <vt:lpstr>K1</vt:lpstr>
      <vt:lpstr>K2</vt:lpstr>
      <vt:lpstr>K3</vt:lpstr>
      <vt:lpstr>K4</vt:lpstr>
      <vt:lpstr>Итог</vt:lpstr>
      <vt:lpstr>|</vt:lpstr>
      <vt:lpstr>2Данные</vt:lpstr>
      <vt:lpstr>2Опис</vt:lpstr>
      <vt:lpstr>2Критерии</vt:lpstr>
      <vt:lpstr>2K1</vt:lpstr>
      <vt:lpstr>2K2</vt:lpstr>
      <vt:lpstr>2K3</vt:lpstr>
      <vt:lpstr>2K4</vt:lpstr>
      <vt:lpstr>2K5</vt:lpstr>
      <vt:lpstr>2K6</vt:lpstr>
      <vt:lpstr>2Итог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Dzhakers Pro</dc:creator>
  <cp:lastModifiedBy>Dzhakers Pro</cp:lastModifiedBy>
  <dcterms:created xsi:type="dcterms:W3CDTF">2015-06-05T18:17:20Z</dcterms:created>
  <dcterms:modified xsi:type="dcterms:W3CDTF">2026-02-21T05:04:57Z</dcterms:modified>
</cp:coreProperties>
</file>